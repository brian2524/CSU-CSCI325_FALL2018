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22260" windowHeight="12645" tabRatio="789" xr2:uid="{00000000-000D-0000-FFFF-FFFF00000000}"/>
  </bookViews>
  <sheets>
    <sheet name="Contributions (Print)" sheetId="1" r:id="rId1"/>
    <sheet name="Summary (Print)" sheetId="19" r:id="rId2"/>
    <sheet name="New Donors (Print)" sheetId="20" r:id="rId3"/>
    <sheet name="ContribLoad" sheetId="13" state="hidden" r:id="rId4"/>
    <sheet name="SummLoad" sheetId="14" state="hidden" r:id="rId5"/>
    <sheet name="NewLoad" sheetId="15" state="hidden" r:id="rId6"/>
  </sheets>
  <definedNames>
    <definedName name="ExternalData_1" localSheetId="3" hidden="1">ContribLoad!$A$1:$E$3</definedName>
    <definedName name="ExternalData_1" localSheetId="4" hidden="1">SummLoad!$A$1:$A$23</definedName>
    <definedName name="ExternalData_2" localSheetId="5" hidden="1">NewLoad!$A$1:$G$2</definedName>
    <definedName name="_xlnm.Print_Area" localSheetId="0">'Contributions (Print)'!$A$1:$F$101</definedName>
    <definedName name="_xlnm.Print_Area" localSheetId="1">'Summary (Print)'!$A$1:$K$42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0" l="1"/>
  <c r="E93" i="1"/>
  <c r="E92" i="1"/>
  <c r="C83" i="1" l="1"/>
  <c r="D83" i="1" s="1"/>
  <c r="C84" i="1"/>
  <c r="D84" i="1"/>
  <c r="E84" i="1"/>
  <c r="C85" i="1"/>
  <c r="E85" i="1" s="1"/>
  <c r="D85" i="1"/>
  <c r="C86" i="1"/>
  <c r="E86" i="1" s="1"/>
  <c r="C87" i="1"/>
  <c r="D87" i="1"/>
  <c r="E87" i="1"/>
  <c r="C100" i="1"/>
  <c r="C98" i="1"/>
  <c r="C72" i="1"/>
  <c r="C73" i="1"/>
  <c r="C74" i="1"/>
  <c r="C75" i="1"/>
  <c r="C76" i="1"/>
  <c r="C77" i="1"/>
  <c r="C78" i="1"/>
  <c r="C79" i="1"/>
  <c r="C80" i="1"/>
  <c r="C81" i="1"/>
  <c r="C82" i="1"/>
  <c r="C71" i="1"/>
  <c r="C53" i="1"/>
  <c r="A7" i="1"/>
  <c r="F7" i="1" s="1"/>
  <c r="A8" i="1"/>
  <c r="F8" i="1" s="1"/>
  <c r="A9" i="1"/>
  <c r="E9" i="1" s="1"/>
  <c r="A10" i="1"/>
  <c r="E10" i="1" s="1"/>
  <c r="A11" i="1"/>
  <c r="C11" i="1" s="1"/>
  <c r="A12" i="1"/>
  <c r="C12" i="1" s="1"/>
  <c r="A13" i="1"/>
  <c r="C13" i="1" s="1"/>
  <c r="A14" i="1"/>
  <c r="E14" i="1" s="1"/>
  <c r="A15" i="1"/>
  <c r="F15" i="1" s="1"/>
  <c r="A16" i="1"/>
  <c r="F16" i="1" s="1"/>
  <c r="A17" i="1"/>
  <c r="C17" i="1" s="1"/>
  <c r="A18" i="1"/>
  <c r="E18" i="1" s="1"/>
  <c r="A19" i="1"/>
  <c r="C19" i="1" s="1"/>
  <c r="A20" i="1"/>
  <c r="F20" i="1" s="1"/>
  <c r="A21" i="1"/>
  <c r="F21" i="1" s="1"/>
  <c r="A22" i="1"/>
  <c r="E22" i="1" s="1"/>
  <c r="A23" i="1"/>
  <c r="C23" i="1" s="1"/>
  <c r="A24" i="1"/>
  <c r="C24" i="1" s="1"/>
  <c r="A25" i="1"/>
  <c r="C25" i="1" s="1"/>
  <c r="A26" i="1"/>
  <c r="E26" i="1" s="1"/>
  <c r="A27" i="1"/>
  <c r="C27" i="1" s="1"/>
  <c r="A28" i="1"/>
  <c r="F28" i="1" s="1"/>
  <c r="A29" i="1"/>
  <c r="F29" i="1" s="1"/>
  <c r="A30" i="1"/>
  <c r="E30" i="1" s="1"/>
  <c r="A31" i="1"/>
  <c r="C31" i="1" s="1"/>
  <c r="A32" i="1"/>
  <c r="C32" i="1" s="1"/>
  <c r="A33" i="1"/>
  <c r="C33" i="1" s="1"/>
  <c r="A34" i="1"/>
  <c r="E34" i="1" s="1"/>
  <c r="A35" i="1"/>
  <c r="C35" i="1" s="1"/>
  <c r="A36" i="1"/>
  <c r="F36" i="1" s="1"/>
  <c r="A37" i="1"/>
  <c r="F37" i="1" s="1"/>
  <c r="A38" i="1"/>
  <c r="E38" i="1" s="1"/>
  <c r="A39" i="1"/>
  <c r="C39" i="1" s="1"/>
  <c r="A40" i="1"/>
  <c r="C40" i="1" s="1"/>
  <c r="A41" i="1"/>
  <c r="C41" i="1" s="1"/>
  <c r="A42" i="1"/>
  <c r="E42" i="1" s="1"/>
  <c r="A43" i="1"/>
  <c r="C43" i="1" s="1"/>
  <c r="A44" i="1"/>
  <c r="F44" i="1" s="1"/>
  <c r="A45" i="1"/>
  <c r="F45" i="1" s="1"/>
  <c r="A46" i="1"/>
  <c r="E46" i="1" s="1"/>
  <c r="A47" i="1"/>
  <c r="C47" i="1" s="1"/>
  <c r="A48" i="1"/>
  <c r="C48" i="1" s="1"/>
  <c r="A49" i="1"/>
  <c r="C49" i="1" s="1"/>
  <c r="A50" i="1"/>
  <c r="E50" i="1" s="1"/>
  <c r="A51" i="1"/>
  <c r="C51" i="1" s="1"/>
  <c r="A52" i="1"/>
  <c r="F52" i="1" s="1"/>
  <c r="A53" i="1"/>
  <c r="F53" i="1" s="1"/>
  <c r="A54" i="1"/>
  <c r="E54" i="1" s="1"/>
  <c r="A55" i="1"/>
  <c r="C55" i="1" s="1"/>
  <c r="A56" i="1"/>
  <c r="C56" i="1" s="1"/>
  <c r="A57" i="1"/>
  <c r="C57" i="1" s="1"/>
  <c r="A58" i="1"/>
  <c r="E58" i="1" s="1"/>
  <c r="A59" i="1"/>
  <c r="C59" i="1" s="1"/>
  <c r="A60" i="1"/>
  <c r="F60" i="1" s="1"/>
  <c r="A61" i="1"/>
  <c r="F61" i="1" s="1"/>
  <c r="A62" i="1"/>
  <c r="E62" i="1" s="1"/>
  <c r="A63" i="1"/>
  <c r="C63" i="1" s="1"/>
  <c r="A64" i="1"/>
  <c r="C64" i="1" s="1"/>
  <c r="A65" i="1"/>
  <c r="C65" i="1" s="1"/>
  <c r="A66" i="1"/>
  <c r="E66" i="1" s="1"/>
  <c r="A67" i="1"/>
  <c r="C67" i="1" s="1"/>
  <c r="A68" i="1"/>
  <c r="F68" i="1" s="1"/>
  <c r="A69" i="1"/>
  <c r="F69" i="1" s="1"/>
  <c r="A6" i="1"/>
  <c r="C6" i="1" s="1"/>
  <c r="C21" i="1" l="1"/>
  <c r="C45" i="1"/>
  <c r="E68" i="1"/>
  <c r="E44" i="1"/>
  <c r="F63" i="1"/>
  <c r="E83" i="1"/>
  <c r="E36" i="1"/>
  <c r="F31" i="1"/>
  <c r="D86" i="1"/>
  <c r="F58" i="1"/>
  <c r="F26" i="1"/>
  <c r="C18" i="1"/>
  <c r="F23" i="1"/>
  <c r="F66" i="1"/>
  <c r="C50" i="1"/>
  <c r="E41" i="1"/>
  <c r="C42" i="1"/>
  <c r="E65" i="1"/>
  <c r="E33" i="1"/>
  <c r="F55" i="1"/>
  <c r="C69" i="1"/>
  <c r="C37" i="1"/>
  <c r="E60" i="1"/>
  <c r="E28" i="1"/>
  <c r="F50" i="1"/>
  <c r="F18" i="1"/>
  <c r="F34" i="1"/>
  <c r="E57" i="1"/>
  <c r="C61" i="1"/>
  <c r="C29" i="1"/>
  <c r="E52" i="1"/>
  <c r="E20" i="1"/>
  <c r="F42" i="1"/>
  <c r="C66" i="1"/>
  <c r="C34" i="1"/>
  <c r="E25" i="1"/>
  <c r="F47" i="1"/>
  <c r="C58" i="1"/>
  <c r="C26" i="1"/>
  <c r="E49" i="1"/>
  <c r="E17" i="1"/>
  <c r="F39" i="1"/>
  <c r="C62" i="1"/>
  <c r="C54" i="1"/>
  <c r="C46" i="1"/>
  <c r="C38" i="1"/>
  <c r="C30" i="1"/>
  <c r="C22" i="1"/>
  <c r="E69" i="1"/>
  <c r="E61" i="1"/>
  <c r="E53" i="1"/>
  <c r="E45" i="1"/>
  <c r="E37" i="1"/>
  <c r="E29" i="1"/>
  <c r="E21" i="1"/>
  <c r="F67" i="1"/>
  <c r="F59" i="1"/>
  <c r="F51" i="1"/>
  <c r="F43" i="1"/>
  <c r="F35" i="1"/>
  <c r="F27" i="1"/>
  <c r="F19" i="1"/>
  <c r="C68" i="1"/>
  <c r="C60" i="1"/>
  <c r="C52" i="1"/>
  <c r="C44" i="1"/>
  <c r="C36" i="1"/>
  <c r="C28" i="1"/>
  <c r="C20" i="1"/>
  <c r="E67" i="1"/>
  <c r="E59" i="1"/>
  <c r="E51" i="1"/>
  <c r="E43" i="1"/>
  <c r="E35" i="1"/>
  <c r="E27" i="1"/>
  <c r="E19" i="1"/>
  <c r="F65" i="1"/>
  <c r="F57" i="1"/>
  <c r="F49" i="1"/>
  <c r="F41" i="1"/>
  <c r="F33" i="1"/>
  <c r="F25" i="1"/>
  <c r="F17" i="1"/>
  <c r="F64" i="1"/>
  <c r="F56" i="1"/>
  <c r="F48" i="1"/>
  <c r="F40" i="1"/>
  <c r="F32" i="1"/>
  <c r="F24" i="1"/>
  <c r="F13" i="1"/>
  <c r="E64" i="1"/>
  <c r="E56" i="1"/>
  <c r="E48" i="1"/>
  <c r="E40" i="1"/>
  <c r="E32" i="1"/>
  <c r="E24" i="1"/>
  <c r="E12" i="1"/>
  <c r="F62" i="1"/>
  <c r="F54" i="1"/>
  <c r="F46" i="1"/>
  <c r="F38" i="1"/>
  <c r="F30" i="1"/>
  <c r="F22" i="1"/>
  <c r="C14" i="1"/>
  <c r="E63" i="1"/>
  <c r="E55" i="1"/>
  <c r="E47" i="1"/>
  <c r="E39" i="1"/>
  <c r="E31" i="1"/>
  <c r="E23" i="1"/>
  <c r="C9" i="1"/>
  <c r="C10" i="1"/>
  <c r="E16" i="1"/>
  <c r="E8" i="1"/>
  <c r="F14" i="1"/>
  <c r="E15" i="1"/>
  <c r="C16" i="1"/>
  <c r="C8" i="1"/>
  <c r="F12" i="1"/>
  <c r="C15" i="1"/>
  <c r="E13" i="1"/>
  <c r="F11" i="1"/>
  <c r="E11" i="1"/>
  <c r="F9" i="1"/>
  <c r="F10" i="1"/>
  <c r="F6" i="1"/>
  <c r="E6" i="1"/>
  <c r="C7" i="1"/>
  <c r="E7" i="1"/>
  <c r="E91" i="1"/>
  <c r="B4" i="19"/>
  <c r="B5" i="19"/>
  <c r="B6" i="19"/>
  <c r="B7" i="19" l="1"/>
  <c r="G6" i="19"/>
  <c r="B8" i="19"/>
  <c r="B9" i="19"/>
  <c r="B10" i="19"/>
  <c r="B11" i="19"/>
  <c r="B12" i="19"/>
  <c r="B13" i="19"/>
  <c r="B14" i="19"/>
  <c r="B15" i="19"/>
  <c r="B16" i="19"/>
  <c r="B17" i="19"/>
  <c r="B18" i="19"/>
  <c r="B19" i="19"/>
  <c r="B20" i="19"/>
  <c r="D64" i="20" l="1"/>
  <c r="D63" i="20"/>
  <c r="D62" i="20"/>
  <c r="D61" i="20"/>
  <c r="D60" i="20"/>
  <c r="A64" i="20"/>
  <c r="A63" i="20"/>
  <c r="A62" i="20"/>
  <c r="A61" i="20"/>
  <c r="A60" i="20"/>
  <c r="D56" i="20"/>
  <c r="D55" i="20"/>
  <c r="D54" i="20"/>
  <c r="D53" i="20"/>
  <c r="D52" i="20"/>
  <c r="A56" i="20"/>
  <c r="A55" i="20"/>
  <c r="A54" i="20"/>
  <c r="A53" i="20"/>
  <c r="A52" i="20"/>
  <c r="D48" i="20"/>
  <c r="D47" i="20"/>
  <c r="D46" i="20"/>
  <c r="D45" i="20"/>
  <c r="D44" i="20"/>
  <c r="A48" i="20"/>
  <c r="A47" i="20"/>
  <c r="A46" i="20"/>
  <c r="A45" i="20"/>
  <c r="A44" i="20"/>
  <c r="D40" i="20"/>
  <c r="D39" i="20"/>
  <c r="D38" i="20"/>
  <c r="D37" i="20"/>
  <c r="D36" i="20"/>
  <c r="A40" i="20"/>
  <c r="A39" i="20"/>
  <c r="A38" i="20"/>
  <c r="A37" i="20"/>
  <c r="A36" i="20"/>
  <c r="D32" i="20"/>
  <c r="D31" i="20"/>
  <c r="D30" i="20"/>
  <c r="D29" i="20"/>
  <c r="D28" i="20"/>
  <c r="A32" i="20"/>
  <c r="A31" i="20"/>
  <c r="A30" i="20"/>
  <c r="A29" i="20"/>
  <c r="A28" i="20"/>
  <c r="D24" i="20"/>
  <c r="D23" i="20"/>
  <c r="D22" i="20"/>
  <c r="D21" i="20"/>
  <c r="D20" i="20"/>
  <c r="A24" i="20"/>
  <c r="A23" i="20"/>
  <c r="A22" i="20"/>
  <c r="A21" i="20"/>
  <c r="A20" i="20"/>
  <c r="F58" i="20"/>
  <c r="E58" i="20"/>
  <c r="C58" i="20"/>
  <c r="B58" i="20"/>
  <c r="F50" i="20"/>
  <c r="E50" i="20"/>
  <c r="C50" i="20"/>
  <c r="B50" i="20"/>
  <c r="F42" i="20"/>
  <c r="E42" i="20"/>
  <c r="C42" i="20"/>
  <c r="B42" i="20"/>
  <c r="F34" i="20"/>
  <c r="E34" i="20"/>
  <c r="C34" i="20"/>
  <c r="B34" i="20"/>
  <c r="F26" i="20"/>
  <c r="E26" i="20"/>
  <c r="C26" i="20"/>
  <c r="B26" i="20"/>
  <c r="F18" i="20"/>
  <c r="E18" i="20"/>
  <c r="C18" i="20"/>
  <c r="B18" i="20"/>
  <c r="F2" i="20"/>
  <c r="E2" i="20"/>
  <c r="C10" i="20"/>
  <c r="B10" i="20"/>
  <c r="F10" i="20"/>
  <c r="E10" i="20"/>
  <c r="B2" i="20"/>
  <c r="D16" i="20"/>
  <c r="D15" i="20"/>
  <c r="D14" i="20"/>
  <c r="D13" i="20"/>
  <c r="D12" i="20"/>
  <c r="A7" i="20"/>
  <c r="A15" i="20"/>
  <c r="A16" i="20"/>
  <c r="A14" i="20"/>
  <c r="A13" i="20"/>
  <c r="A12" i="20"/>
  <c r="A8" i="20"/>
  <c r="A6" i="20"/>
  <c r="A5" i="20"/>
  <c r="A4" i="20"/>
  <c r="D8" i="20"/>
  <c r="D7" i="20"/>
  <c r="D6" i="20"/>
  <c r="D5" i="20"/>
  <c r="D4" i="20"/>
  <c r="D90" i="1"/>
  <c r="D91" i="1"/>
  <c r="D92" i="1"/>
  <c r="D93" i="1"/>
  <c r="D89" i="1"/>
  <c r="I21" i="19" l="1"/>
  <c r="J21" i="19"/>
  <c r="J27" i="19"/>
  <c r="K27" i="19" s="1"/>
  <c r="J28" i="19"/>
  <c r="K28" i="19" s="1"/>
  <c r="J29" i="19"/>
  <c r="K29" i="19" s="1"/>
  <c r="J30" i="19"/>
  <c r="K30" i="19" s="1"/>
  <c r="J31" i="19"/>
  <c r="K31" i="19" s="1"/>
  <c r="J26" i="19"/>
  <c r="K26" i="19" s="1"/>
  <c r="F27" i="19"/>
  <c r="G27" i="19" s="1"/>
  <c r="F28" i="19"/>
  <c r="G28" i="19" s="1"/>
  <c r="F29" i="19"/>
  <c r="G29" i="19" s="1"/>
  <c r="F30" i="19"/>
  <c r="G30" i="19" s="1"/>
  <c r="F31" i="19"/>
  <c r="G31" i="19" s="1"/>
  <c r="F26" i="19"/>
  <c r="G26" i="19" s="1"/>
  <c r="C31" i="19"/>
  <c r="C32" i="19"/>
  <c r="G36" i="19"/>
  <c r="G34" i="19"/>
  <c r="D18" i="19"/>
  <c r="H18" i="19" s="1"/>
  <c r="K18" i="19" s="1"/>
  <c r="D19" i="19"/>
  <c r="H19" i="19" s="1"/>
  <c r="K19" i="19" s="1"/>
  <c r="D20" i="19"/>
  <c r="H20" i="19" s="1"/>
  <c r="K20" i="19" s="1"/>
  <c r="D71" i="1"/>
  <c r="G21" i="19"/>
  <c r="F21" i="19"/>
  <c r="D72" i="1"/>
  <c r="D73" i="1"/>
  <c r="D74" i="1"/>
  <c r="E75" i="1"/>
  <c r="D8" i="19" s="1"/>
  <c r="H8" i="19" s="1"/>
  <c r="K8" i="19" s="1"/>
  <c r="E76" i="1"/>
  <c r="D9" i="19" s="1"/>
  <c r="H9" i="19" s="1"/>
  <c r="K9" i="19" s="1"/>
  <c r="E77" i="1"/>
  <c r="D10" i="19" s="1"/>
  <c r="H10" i="19" s="1"/>
  <c r="K10" i="19" s="1"/>
  <c r="E78" i="1"/>
  <c r="D11" i="19" s="1"/>
  <c r="H11" i="19" s="1"/>
  <c r="K11" i="19" s="1"/>
  <c r="E79" i="1"/>
  <c r="D12" i="19" s="1"/>
  <c r="H12" i="19" s="1"/>
  <c r="K12" i="19" s="1"/>
  <c r="E80" i="1"/>
  <c r="D13" i="19" s="1"/>
  <c r="H13" i="19" s="1"/>
  <c r="K13" i="19" s="1"/>
  <c r="E81" i="1"/>
  <c r="D14" i="19" s="1"/>
  <c r="H14" i="19" s="1"/>
  <c r="K14" i="19" s="1"/>
  <c r="E82" i="1"/>
  <c r="D15" i="19" s="1"/>
  <c r="H15" i="19" s="1"/>
  <c r="K15" i="19" s="1"/>
  <c r="D16" i="19"/>
  <c r="H16" i="19" s="1"/>
  <c r="K16" i="19" s="1"/>
  <c r="D17" i="19"/>
  <c r="H17" i="19" s="1"/>
  <c r="K17" i="19" s="1"/>
  <c r="F96" i="1"/>
  <c r="K32" i="19" l="1"/>
  <c r="C27" i="19" s="1"/>
  <c r="G32" i="19"/>
  <c r="C26" i="19" s="1"/>
  <c r="D78" i="1"/>
  <c r="D79" i="1"/>
  <c r="D76" i="1"/>
  <c r="D75" i="1"/>
  <c r="D82" i="1"/>
  <c r="D77" i="1"/>
  <c r="D81" i="1"/>
  <c r="D80" i="1"/>
  <c r="E90" i="1" l="1"/>
  <c r="B3" i="1"/>
  <c r="C2" i="19" s="1"/>
  <c r="E71" i="1" l="1"/>
  <c r="D4" i="19" s="1"/>
  <c r="E5" i="19"/>
  <c r="E73" i="1"/>
  <c r="D6" i="19" s="1"/>
  <c r="H6" i="19" s="1"/>
  <c r="K6" i="19" s="1"/>
  <c r="E74" i="1"/>
  <c r="D7" i="19" s="1"/>
  <c r="H7" i="19" s="1"/>
  <c r="K7" i="19" s="1"/>
  <c r="E72" i="1"/>
  <c r="D5" i="19" s="1"/>
  <c r="C94" i="1"/>
  <c r="C95" i="1"/>
  <c r="C28" i="19" s="1"/>
  <c r="C29" i="19" s="1"/>
  <c r="E89" i="1"/>
  <c r="E4" i="19" s="1"/>
  <c r="E21" i="19" l="1"/>
  <c r="H5" i="19"/>
  <c r="K5" i="19" s="1"/>
  <c r="H4" i="19"/>
  <c r="K4" i="19" s="1"/>
  <c r="C96" i="1"/>
  <c r="D21" i="19"/>
  <c r="K21" i="19" l="1"/>
  <c r="K22" i="19" s="1"/>
  <c r="H21"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nection" type="5" refreshedVersion="6" saveData="1">
    <dbPr connection="Provider=Microsoft.Mashup.OleDb.1;Data Source=$Workbook$;Location=WeekDonor;Extended Properties=&quot;&quot;" command="SELECT * FROM [WeekDonor]"/>
  </connection>
  <connection id="2" xr16:uid="{00000000-0015-0000-FFFF-FFFF01000000}" keepAlive="1" name="Query - NewDonor" description="Connection to the 'NewDonor' query in the workbook." type="5" refreshedVersion="6" saveData="1">
    <dbPr connection="Provider=Microsoft.Mashup.OleDb.1;Data Source=$Workbook$;Location=NewDonor;Extended Properties=&quot;&quot;" command="SELECT * FROM [NewDonor]"/>
  </connection>
  <connection id="3" xr16:uid="{00000000-0015-0000-FFFF-FFFF02000000}" keepAlive="1" name="Query - Summary" description="Connection to the 'Summary' query in the workbook." type="5" refreshedVersion="6" saveData="1">
    <dbPr connection="Provider=Microsoft.Mashup.OleDb.1;Data Source=$Workbook$;Location=Summary;Extended Properties=&quot;&quot;" command="SELECT * FROM [Summary]"/>
  </connection>
</connections>
</file>

<file path=xl/sharedStrings.xml><?xml version="1.0" encoding="utf-8"?>
<sst xmlns="http://schemas.openxmlformats.org/spreadsheetml/2006/main" count="124" uniqueCount="62">
  <si>
    <t>SUMMERVILLE CHURCH OF THE NAZARENE CONTRIBUTIONS REPORT</t>
  </si>
  <si>
    <t>( X ) P.M.</t>
  </si>
  <si>
    <t>NAME OF CONTRIBUTOR</t>
  </si>
  <si>
    <t>OFFERING TYPE</t>
  </si>
  <si>
    <t>AMOUNT</t>
  </si>
  <si>
    <t>CASH or CHECK #</t>
  </si>
  <si>
    <t>DATE:</t>
  </si>
  <si>
    <t>SUBTOTAL CONTRIBUTIONS</t>
  </si>
  <si>
    <t>ALL LOOSE OFFERINGS</t>
  </si>
  <si>
    <t xml:space="preserve">CASH TOTAL:  </t>
  </si>
  <si>
    <t xml:space="preserve">CHECK TOTAL:  </t>
  </si>
  <si>
    <t xml:space="preserve">TOTAL DEPOSIT:  </t>
  </si>
  <si>
    <t xml:space="preserve">TOTAL ITEMS:  </t>
  </si>
  <si>
    <t>SUNDAY SCHOOL</t>
  </si>
  <si>
    <t>BREAKDOWN OF CONTRIBUTION RECEIPTS</t>
  </si>
  <si>
    <t>OFFERINGS</t>
  </si>
  <si>
    <t xml:space="preserve"> A.M.</t>
  </si>
  <si>
    <t>Loose A.M.</t>
  </si>
  <si>
    <t>Loose P.M.</t>
  </si>
  <si>
    <t>Wed. Loose</t>
  </si>
  <si>
    <t>Sub-Total</t>
  </si>
  <si>
    <t>CC</t>
  </si>
  <si>
    <t>ACH</t>
  </si>
  <si>
    <t>Totals</t>
  </si>
  <si>
    <t>Sub-Totals</t>
  </si>
  <si>
    <t>TOTALS</t>
  </si>
  <si>
    <t xml:space="preserve">DEPOSIT #1 - SUMMARY </t>
  </si>
  <si>
    <t>CURRENCY</t>
  </si>
  <si>
    <t>QUANTITY</t>
  </si>
  <si>
    <t>COIN</t>
  </si>
  <si>
    <t>Currency:</t>
  </si>
  <si>
    <t>Coin:</t>
  </si>
  <si>
    <t>Checks:</t>
  </si>
  <si>
    <t>TOTAL</t>
  </si>
  <si>
    <t>Bag ID #</t>
  </si>
  <si>
    <t>Total Items:</t>
  </si>
  <si>
    <t xml:space="preserve">Counted by: </t>
  </si>
  <si>
    <t>SUMMARY</t>
  </si>
  <si>
    <t>PURPOSE OF DEPOSIT</t>
  </si>
  <si>
    <t>CHECKS</t>
  </si>
  <si>
    <t>Total Items</t>
  </si>
  <si>
    <t>TOTAL DEPOSIT</t>
  </si>
  <si>
    <t>DEPOSIT # 2</t>
  </si>
  <si>
    <t>DEPOSIT # 3</t>
  </si>
  <si>
    <t xml:space="preserve">Verified by:  </t>
  </si>
  <si>
    <t>Monique Arcalas</t>
  </si>
  <si>
    <t>AM SERVICE</t>
  </si>
  <si>
    <t>Last (Family) Name</t>
  </si>
  <si>
    <t>Notes:</t>
  </si>
  <si>
    <t>His &amp; Her First Name(s)</t>
  </si>
  <si>
    <t>Column1</t>
  </si>
  <si>
    <t>Column2</t>
  </si>
  <si>
    <t>Column3</t>
  </si>
  <si>
    <t>Column4</t>
  </si>
  <si>
    <t>Column5</t>
  </si>
  <si>
    <t>Column6</t>
  </si>
  <si>
    <t>Column7</t>
  </si>
  <si>
    <t xml:space="preserve">DATE:  </t>
  </si>
  <si>
    <t>( X ) A.M.</t>
  </si>
  <si>
    <t>FAITH PROMISE 10%</t>
  </si>
  <si>
    <t>After the form loads, press the "Load Data" button to populate the reports. Delete rows as desired, and print only the sheets you need. For example, the New Donors page is only if you have new giving units this week and need to call attention to them for Monique. The forms will automatically calculate based on the data you input in the other program. You will need to check the "Loose Offerings" portion of this sheet and update the Summary sheet if there are any unusual loose offerings that need to be accounted for.</t>
  </si>
  <si>
    <t xml:space="preserve">Counted By: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</si>
</sst>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409]mmmm\ d\,\ yyyy;@"/>
    <numFmt numFmtId="166" formatCode="&quot;$&quot;#,##0"/>
  </numFmts>
  <fonts count="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b/>
      <sz val="11"/>
      <color theme="1"/>
      <name val="Calibri"/>
      <family val="2"/>
      <scheme val="minor"/>
    </font>
    <font>
      <sz val="11"/>
      <color rgb="FF000000"/>
      <name val="Calibri"/>
      <family val="2"/>
    </font>
    <font>
      <b/>
      <sz val="16"/>
      <color rgb="FFFFFF00"/>
      <name val="Calibri"/>
      <family val="2"/>
      <scheme val="minor"/>
    </font>
  </fonts>
  <fills count="4">
    <fill>
      <patternFill patternType="none"/>
    </fill>
    <fill>
      <patternFill patternType="gray125"/>
    </fill>
    <fill>
      <patternFill patternType="solid">
        <fgColor theme="0" tint="-0.499984740745262"/>
        <bgColor indexed="64"/>
      </patternFill>
    </fill>
    <fill>
      <patternFill patternType="solid">
        <fgColor theme="0"/>
        <bgColor indexed="64"/>
      </patternFill>
    </fill>
  </fills>
  <borders count="54">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right/>
      <top style="thin">
        <color indexed="64"/>
      </top>
      <bottom style="thin">
        <color indexed="64"/>
      </bottom>
      <diagonal/>
    </border>
    <border>
      <left/>
      <right/>
      <top style="thin">
        <color auto="1"/>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1">
    <xf numFmtId="0" fontId="0" fillId="0" borderId="0"/>
  </cellStyleXfs>
  <cellXfs count="190">
    <xf numFmtId="0" fontId="0" fillId="0" borderId="0" xfId="0"/>
    <xf numFmtId="165" fontId="5" fillId="0" borderId="5" xfId="0" applyNumberFormat="1" applyFont="1" applyBorder="1" applyAlignment="1">
      <alignment horizontal="left" vertical="center"/>
    </xf>
    <xf numFmtId="165" fontId="5" fillId="0" borderId="0" xfId="0" applyNumberFormat="1" applyFont="1" applyBorder="1" applyAlignment="1">
      <alignment horizontal="left" vertical="center"/>
    </xf>
    <xf numFmtId="164" fontId="5" fillId="0" borderId="0" xfId="0" applyNumberFormat="1" applyFont="1" applyBorder="1" applyAlignment="1">
      <alignment horizontal="center" vertical="center"/>
    </xf>
    <xf numFmtId="164" fontId="5" fillId="0" borderId="6" xfId="0" applyNumberFormat="1" applyFont="1" applyBorder="1" applyAlignment="1">
      <alignment horizontal="center" vertical="center"/>
    </xf>
    <xf numFmtId="0" fontId="4" fillId="0" borderId="0" xfId="0" applyFont="1" applyAlignment="1">
      <alignment vertical="center"/>
    </xf>
    <xf numFmtId="165" fontId="4" fillId="0" borderId="0" xfId="0" applyNumberFormat="1" applyFont="1" applyAlignment="1">
      <alignment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164" fontId="4" fillId="0" borderId="3" xfId="0" applyNumberFormat="1" applyFont="1" applyBorder="1" applyAlignment="1">
      <alignment horizontal="center" vertical="center"/>
    </xf>
    <xf numFmtId="49" fontId="4" fillId="0" borderId="3" xfId="0" applyNumberFormat="1" applyFont="1" applyBorder="1" applyAlignment="1">
      <alignment horizontal="center" vertical="center"/>
    </xf>
    <xf numFmtId="164" fontId="4" fillId="0" borderId="4" xfId="0" applyNumberFormat="1" applyFont="1" applyBorder="1" applyAlignment="1">
      <alignment horizontal="center" vertical="center"/>
    </xf>
    <xf numFmtId="0" fontId="4" fillId="0" borderId="7" xfId="0" applyFont="1" applyBorder="1" applyAlignment="1">
      <alignment vertical="center"/>
    </xf>
    <xf numFmtId="0" fontId="4" fillId="0" borderId="1" xfId="0" applyFont="1" applyBorder="1" applyAlignment="1">
      <alignment vertical="center"/>
    </xf>
    <xf numFmtId="164" fontId="4" fillId="0" borderId="1" xfId="0" applyNumberFormat="1" applyFont="1" applyBorder="1" applyAlignment="1">
      <alignment horizontal="center" vertical="center"/>
    </xf>
    <xf numFmtId="49" fontId="4" fillId="0" borderId="1" xfId="0" applyNumberFormat="1" applyFont="1" applyBorder="1" applyAlignment="1">
      <alignment horizontal="center" vertical="center"/>
    </xf>
    <xf numFmtId="164" fontId="4" fillId="0" borderId="8" xfId="0" applyNumberFormat="1" applyFont="1" applyBorder="1" applyAlignment="1">
      <alignment horizontal="center" vertical="center"/>
    </xf>
    <xf numFmtId="0" fontId="5" fillId="0" borderId="0" xfId="0" applyFont="1" applyAlignment="1">
      <alignment horizontal="center" vertical="center"/>
    </xf>
    <xf numFmtId="0" fontId="4" fillId="0" borderId="3" xfId="0" applyFont="1" applyBorder="1" applyAlignment="1">
      <alignment vertical="center"/>
    </xf>
    <xf numFmtId="0" fontId="4" fillId="0" borderId="0" xfId="0" applyFont="1" applyBorder="1" applyAlignment="1">
      <alignment vertical="center"/>
    </xf>
    <xf numFmtId="164" fontId="4" fillId="0" borderId="13" xfId="0" applyNumberFormat="1" applyFont="1" applyBorder="1" applyAlignment="1">
      <alignment vertical="center"/>
    </xf>
    <xf numFmtId="0" fontId="5" fillId="0" borderId="22" xfId="0" applyFont="1" applyBorder="1" applyAlignment="1">
      <alignment horizontal="right" vertical="center"/>
    </xf>
    <xf numFmtId="0" fontId="4" fillId="0" borderId="2" xfId="0" applyFont="1" applyBorder="1" applyAlignment="1">
      <alignment vertical="center"/>
    </xf>
    <xf numFmtId="0" fontId="0" fillId="0" borderId="0" xfId="0" applyNumberFormat="1"/>
    <xf numFmtId="4" fontId="0" fillId="0" borderId="0" xfId="0" applyNumberFormat="1"/>
    <xf numFmtId="164" fontId="4" fillId="0" borderId="24" xfId="0" applyNumberFormat="1" applyFont="1" applyBorder="1" applyAlignment="1">
      <alignment vertical="center"/>
    </xf>
    <xf numFmtId="0" fontId="5" fillId="0" borderId="16" xfId="0" applyFont="1" applyBorder="1" applyAlignment="1">
      <alignment horizontal="right" vertical="center"/>
    </xf>
    <xf numFmtId="0" fontId="4" fillId="0" borderId="16" xfId="0" applyFont="1" applyBorder="1" applyAlignment="1">
      <alignment vertical="center"/>
    </xf>
    <xf numFmtId="0" fontId="4" fillId="0" borderId="18" xfId="0" applyFont="1" applyBorder="1" applyAlignment="1">
      <alignment vertical="center"/>
    </xf>
    <xf numFmtId="0" fontId="6" fillId="0" borderId="0" xfId="0" applyFont="1" applyAlignment="1">
      <alignment horizontal="right"/>
    </xf>
    <xf numFmtId="0" fontId="6" fillId="0" borderId="26" xfId="0" applyFont="1" applyBorder="1" applyAlignment="1">
      <alignment horizontal="center"/>
    </xf>
    <xf numFmtId="0" fontId="6" fillId="0" borderId="28" xfId="0" applyFont="1" applyBorder="1" applyAlignment="1">
      <alignment horizontal="center"/>
    </xf>
    <xf numFmtId="0" fontId="6" fillId="0" borderId="0" xfId="0" applyFont="1" applyBorder="1" applyAlignment="1">
      <alignment horizontal="center"/>
    </xf>
    <xf numFmtId="0" fontId="0" fillId="0" borderId="0" xfId="0" applyBorder="1" applyAlignment="1">
      <alignment horizontal="center"/>
    </xf>
    <xf numFmtId="0" fontId="6" fillId="0" borderId="11" xfId="0" applyFont="1" applyBorder="1" applyAlignment="1">
      <alignment horizontal="center"/>
    </xf>
    <xf numFmtId="0" fontId="3" fillId="0" borderId="14" xfId="0" applyFont="1" applyBorder="1" applyAlignment="1"/>
    <xf numFmtId="0" fontId="5" fillId="0" borderId="11" xfId="0" applyFont="1" applyBorder="1" applyAlignment="1"/>
    <xf numFmtId="0" fontId="0" fillId="0" borderId="12" xfId="0" applyBorder="1" applyAlignment="1">
      <alignment horizontal="center"/>
    </xf>
    <xf numFmtId="0" fontId="0" fillId="0" borderId="28" xfId="0" applyBorder="1" applyAlignment="1">
      <alignment horizontal="center"/>
    </xf>
    <xf numFmtId="0" fontId="6" fillId="0" borderId="11" xfId="0" applyFont="1" applyBorder="1" applyAlignment="1">
      <alignment horizontal="left"/>
    </xf>
    <xf numFmtId="0" fontId="6" fillId="0" borderId="0" xfId="0" applyFont="1" applyBorder="1" applyAlignment="1">
      <alignment horizontal="left"/>
    </xf>
    <xf numFmtId="0" fontId="0" fillId="0" borderId="0" xfId="0" applyAlignment="1">
      <alignment horizontal="left"/>
    </xf>
    <xf numFmtId="0" fontId="0" fillId="0" borderId="0" xfId="0" applyBorder="1" applyAlignment="1"/>
    <xf numFmtId="0" fontId="6" fillId="0" borderId="9" xfId="0" applyFont="1" applyBorder="1" applyAlignment="1">
      <alignment horizontal="center"/>
    </xf>
    <xf numFmtId="0" fontId="5" fillId="0" borderId="9" xfId="0" applyFont="1" applyBorder="1" applyAlignment="1">
      <alignment horizontal="center"/>
    </xf>
    <xf numFmtId="164" fontId="0" fillId="0" borderId="10" xfId="0" applyNumberFormat="1" applyBorder="1" applyAlignment="1">
      <alignment horizontal="center"/>
    </xf>
    <xf numFmtId="164" fontId="0" fillId="0" borderId="9" xfId="0" applyNumberFormat="1" applyBorder="1" applyAlignment="1">
      <alignment horizontal="center"/>
    </xf>
    <xf numFmtId="0" fontId="0" fillId="0" borderId="0" xfId="0" applyAlignment="1"/>
    <xf numFmtId="14" fontId="0" fillId="0" borderId="0" xfId="0" applyNumberFormat="1" applyBorder="1" applyAlignment="1"/>
    <xf numFmtId="164" fontId="0" fillId="0" borderId="0" xfId="0" applyNumberFormat="1" applyBorder="1" applyAlignment="1"/>
    <xf numFmtId="164" fontId="6" fillId="0" borderId="0" xfId="0" applyNumberFormat="1" applyFont="1" applyBorder="1" applyAlignment="1"/>
    <xf numFmtId="0" fontId="0" fillId="0" borderId="29" xfId="0" applyBorder="1" applyAlignment="1"/>
    <xf numFmtId="164" fontId="3" fillId="0" borderId="31" xfId="0" applyNumberFormat="1" applyFont="1" applyBorder="1" applyAlignment="1"/>
    <xf numFmtId="0" fontId="3" fillId="0" borderId="41" xfId="0" applyFont="1" applyBorder="1" applyAlignment="1"/>
    <xf numFmtId="164" fontId="3" fillId="0" borderId="35" xfId="0" applyNumberFormat="1" applyFont="1" applyBorder="1" applyAlignment="1"/>
    <xf numFmtId="0" fontId="3" fillId="0" borderId="42" xfId="0" applyFont="1" applyBorder="1" applyAlignment="1"/>
    <xf numFmtId="0" fontId="5" fillId="0" borderId="11" xfId="0" applyFont="1" applyFill="1" applyBorder="1" applyAlignment="1"/>
    <xf numFmtId="0" fontId="0" fillId="0" borderId="26" xfId="0" applyBorder="1" applyAlignment="1"/>
    <xf numFmtId="164" fontId="5" fillId="0" borderId="28" xfId="0" applyNumberFormat="1" applyFont="1" applyBorder="1" applyAlignment="1"/>
    <xf numFmtId="0" fontId="3" fillId="0" borderId="0" xfId="0" applyFont="1" applyAlignment="1"/>
    <xf numFmtId="0" fontId="3" fillId="0" borderId="0" xfId="0" applyFont="1" applyBorder="1" applyAlignment="1"/>
    <xf numFmtId="0" fontId="6" fillId="0" borderId="10" xfId="0" applyFont="1" applyBorder="1" applyAlignment="1"/>
    <xf numFmtId="166" fontId="3" fillId="0" borderId="40" xfId="0" applyNumberFormat="1" applyFont="1" applyBorder="1" applyAlignment="1"/>
    <xf numFmtId="166" fontId="3" fillId="0" borderId="41" xfId="0" applyNumberFormat="1" applyFont="1" applyBorder="1" applyAlignment="1"/>
    <xf numFmtId="166" fontId="3" fillId="0" borderId="42" xfId="0" applyNumberFormat="1" applyFont="1" applyBorder="1" applyAlignment="1"/>
    <xf numFmtId="164" fontId="3" fillId="0" borderId="40" xfId="0" applyNumberFormat="1" applyFont="1" applyBorder="1" applyAlignment="1"/>
    <xf numFmtId="164" fontId="3" fillId="0" borderId="41" xfId="0" applyNumberFormat="1" applyFont="1" applyBorder="1" applyAlignment="1"/>
    <xf numFmtId="164" fontId="3" fillId="0" borderId="42" xfId="0" applyNumberFormat="1" applyFont="1" applyBorder="1" applyAlignment="1"/>
    <xf numFmtId="0" fontId="3" fillId="0" borderId="16" xfId="0" applyFont="1" applyBorder="1" applyAlignment="1">
      <alignment horizontal="right" vertical="center"/>
    </xf>
    <xf numFmtId="0" fontId="3" fillId="0" borderId="17" xfId="0" applyFont="1" applyBorder="1" applyAlignment="1">
      <alignment horizontal="left" vertical="center"/>
    </xf>
    <xf numFmtId="0" fontId="5" fillId="0" borderId="14" xfId="0" applyFont="1" applyBorder="1" applyAlignment="1">
      <alignment horizontal="right" vertical="center"/>
    </xf>
    <xf numFmtId="0" fontId="4" fillId="0" borderId="5" xfId="0" applyFont="1" applyBorder="1" applyAlignment="1">
      <alignment horizontal="center" vertical="center"/>
    </xf>
    <xf numFmtId="0" fontId="5" fillId="0" borderId="5" xfId="0" applyFont="1" applyBorder="1" applyAlignment="1">
      <alignment horizontal="center" vertical="center"/>
    </xf>
    <xf numFmtId="0" fontId="4" fillId="0" borderId="0" xfId="0" applyFont="1" applyBorder="1" applyAlignment="1">
      <alignment horizontal="center" vertical="center"/>
    </xf>
    <xf numFmtId="0" fontId="4" fillId="0" borderId="1" xfId="0" applyFont="1" applyBorder="1" applyAlignment="1">
      <alignment horizontal="center" vertical="center"/>
    </xf>
    <xf numFmtId="0" fontId="5" fillId="0" borderId="22" xfId="0" applyFont="1" applyBorder="1" applyAlignment="1">
      <alignment horizontal="center" vertical="center"/>
    </xf>
    <xf numFmtId="0" fontId="4" fillId="0" borderId="0" xfId="0" applyFont="1" applyAlignment="1">
      <alignment horizontal="center" vertical="center"/>
    </xf>
    <xf numFmtId="0" fontId="2" fillId="0" borderId="0" xfId="0" applyFont="1" applyAlignment="1">
      <alignment vertical="center"/>
    </xf>
    <xf numFmtId="0" fontId="2" fillId="0" borderId="33" xfId="0" applyFont="1" applyBorder="1" applyAlignment="1">
      <alignment vertical="center"/>
    </xf>
    <xf numFmtId="0" fontId="2" fillId="0" borderId="35" xfId="0" applyFont="1" applyBorder="1" applyAlignment="1">
      <alignment vertical="center"/>
    </xf>
    <xf numFmtId="0" fontId="5" fillId="0" borderId="46" xfId="0" applyFont="1" applyBorder="1" applyAlignment="1">
      <alignment vertical="center"/>
    </xf>
    <xf numFmtId="0" fontId="5" fillId="0" borderId="39" xfId="0" applyFont="1" applyBorder="1" applyAlignment="1">
      <alignment vertical="center"/>
    </xf>
    <xf numFmtId="14" fontId="5" fillId="0" borderId="23" xfId="0" applyNumberFormat="1" applyFont="1" applyBorder="1" applyAlignment="1">
      <alignment horizontal="left" vertical="center"/>
    </xf>
    <xf numFmtId="0" fontId="5" fillId="0" borderId="9" xfId="0" applyFont="1" applyBorder="1" applyAlignment="1">
      <alignment horizontal="right" vertical="center"/>
    </xf>
    <xf numFmtId="0" fontId="5" fillId="0" borderId="26" xfId="0" applyFont="1" applyBorder="1" applyAlignment="1">
      <alignment horizontal="center" vertical="center"/>
    </xf>
    <xf numFmtId="0" fontId="5" fillId="0" borderId="27" xfId="0" applyFont="1" applyBorder="1" applyAlignment="1">
      <alignment horizontal="center" vertical="center"/>
    </xf>
    <xf numFmtId="0" fontId="5" fillId="0" borderId="28" xfId="0" applyFont="1" applyBorder="1" applyAlignment="1">
      <alignment horizontal="center" vertical="center"/>
    </xf>
    <xf numFmtId="164" fontId="3" fillId="0" borderId="29" xfId="0" applyNumberFormat="1" applyFont="1" applyBorder="1" applyAlignment="1">
      <alignment vertical="center"/>
    </xf>
    <xf numFmtId="164" fontId="3" fillId="3" borderId="29" xfId="0" applyNumberFormat="1" applyFont="1" applyFill="1" applyBorder="1" applyAlignment="1">
      <alignment vertical="center"/>
    </xf>
    <xf numFmtId="164" fontId="3" fillId="2" borderId="29" xfId="0" applyNumberFormat="1" applyFont="1" applyFill="1" applyBorder="1" applyAlignment="1">
      <alignment vertical="center"/>
    </xf>
    <xf numFmtId="164" fontId="3" fillId="2" borderId="30" xfId="0" applyNumberFormat="1" applyFont="1" applyFill="1" applyBorder="1" applyAlignment="1">
      <alignment vertical="center"/>
    </xf>
    <xf numFmtId="164" fontId="3" fillId="0" borderId="30" xfId="0" applyNumberFormat="1" applyFont="1" applyBorder="1" applyAlignment="1">
      <alignment vertical="center"/>
    </xf>
    <xf numFmtId="164" fontId="3" fillId="0" borderId="31" xfId="0" applyNumberFormat="1" applyFont="1" applyBorder="1" applyAlignment="1">
      <alignment vertical="center"/>
    </xf>
    <xf numFmtId="164" fontId="3" fillId="0" borderId="33" xfId="0" applyNumberFormat="1" applyFont="1" applyBorder="1" applyAlignment="1">
      <alignment vertical="center"/>
    </xf>
    <xf numFmtId="164" fontId="3" fillId="3" borderId="33" xfId="0" applyNumberFormat="1" applyFont="1" applyFill="1" applyBorder="1" applyAlignment="1">
      <alignment vertical="center"/>
    </xf>
    <xf numFmtId="164" fontId="3" fillId="2" borderId="33" xfId="0" applyNumberFormat="1" applyFont="1" applyFill="1" applyBorder="1" applyAlignment="1">
      <alignment vertical="center"/>
    </xf>
    <xf numFmtId="164" fontId="3" fillId="2" borderId="34" xfId="0" applyNumberFormat="1" applyFont="1" applyFill="1" applyBorder="1" applyAlignment="1">
      <alignment vertical="center"/>
    </xf>
    <xf numFmtId="164" fontId="3" fillId="0" borderId="34" xfId="0" applyNumberFormat="1" applyFont="1" applyBorder="1" applyAlignment="1">
      <alignment vertical="center"/>
    </xf>
    <xf numFmtId="164" fontId="3" fillId="3" borderId="34" xfId="0" applyNumberFormat="1" applyFont="1" applyFill="1" applyBorder="1" applyAlignment="1">
      <alignment vertical="center"/>
    </xf>
    <xf numFmtId="164" fontId="3" fillId="0" borderId="36" xfId="0" applyNumberFormat="1" applyFont="1" applyBorder="1" applyAlignment="1">
      <alignment vertical="center"/>
    </xf>
    <xf numFmtId="164" fontId="3" fillId="0" borderId="37" xfId="0" applyNumberFormat="1" applyFont="1" applyBorder="1" applyAlignment="1">
      <alignment vertical="center"/>
    </xf>
    <xf numFmtId="164" fontId="3" fillId="0" borderId="44" xfId="0" applyNumberFormat="1" applyFont="1" applyBorder="1" applyAlignment="1">
      <alignment vertical="center"/>
    </xf>
    <xf numFmtId="0" fontId="3" fillId="0" borderId="23" xfId="0" applyFont="1" applyBorder="1" applyAlignment="1">
      <alignment horizontal="right" vertical="center"/>
    </xf>
    <xf numFmtId="0" fontId="5" fillId="0" borderId="23" xfId="0" applyFont="1" applyBorder="1" applyAlignment="1">
      <alignment horizontal="right" vertical="center"/>
    </xf>
    <xf numFmtId="0" fontId="3" fillId="0" borderId="26" xfId="0" applyFont="1" applyBorder="1" applyAlignment="1">
      <alignment horizontal="right" vertical="center"/>
    </xf>
    <xf numFmtId="164" fontId="3" fillId="0" borderId="27" xfId="0" applyNumberFormat="1" applyFont="1" applyBorder="1" applyAlignment="1">
      <alignment vertical="center"/>
    </xf>
    <xf numFmtId="164" fontId="5" fillId="0" borderId="28" xfId="0" applyNumberFormat="1" applyFont="1" applyBorder="1" applyAlignment="1">
      <alignment vertical="center"/>
    </xf>
    <xf numFmtId="0" fontId="5" fillId="0" borderId="16" xfId="0" applyFont="1" applyBorder="1" applyAlignment="1">
      <alignment horizontal="right" vertical="center"/>
    </xf>
    <xf numFmtId="164" fontId="3" fillId="0" borderId="39" xfId="0" applyNumberFormat="1" applyFont="1" applyBorder="1" applyAlignment="1"/>
    <xf numFmtId="164" fontId="3" fillId="0" borderId="38" xfId="0" applyNumberFormat="1" applyFont="1" applyBorder="1" applyAlignment="1"/>
    <xf numFmtId="164" fontId="4" fillId="0" borderId="46" xfId="0" applyNumberFormat="1" applyFont="1" applyBorder="1" applyAlignment="1">
      <alignment vertical="center"/>
    </xf>
    <xf numFmtId="0" fontId="4" fillId="0" borderId="39" xfId="0" applyFont="1" applyBorder="1" applyAlignment="1">
      <alignment horizontal="center" vertical="center"/>
    </xf>
    <xf numFmtId="164" fontId="4" fillId="0" borderId="33" xfId="0" applyNumberFormat="1" applyFont="1" applyBorder="1" applyAlignment="1">
      <alignment vertical="center"/>
    </xf>
    <xf numFmtId="0" fontId="4" fillId="0" borderId="35" xfId="0" applyFont="1" applyBorder="1" applyAlignment="1">
      <alignment horizontal="center" vertical="center"/>
    </xf>
    <xf numFmtId="164" fontId="4" fillId="0" borderId="52" xfId="0" applyNumberFormat="1" applyFont="1" applyBorder="1" applyAlignment="1">
      <alignment vertical="center"/>
    </xf>
    <xf numFmtId="0" fontId="4" fillId="0" borderId="44" xfId="0" applyFont="1" applyBorder="1" applyAlignment="1">
      <alignment horizontal="center" vertical="center"/>
    </xf>
    <xf numFmtId="0" fontId="8" fillId="0" borderId="0" xfId="0" applyFont="1" applyFill="1" applyAlignment="1">
      <alignment vertical="center" wrapText="1"/>
    </xf>
    <xf numFmtId="164" fontId="5" fillId="0" borderId="49" xfId="0" applyNumberFormat="1" applyFont="1" applyBorder="1" applyAlignment="1">
      <alignment horizontal="center" vertical="center" wrapText="1"/>
    </xf>
    <xf numFmtId="164" fontId="5" fillId="0" borderId="24" xfId="0" applyNumberFormat="1" applyFont="1" applyBorder="1" applyAlignment="1">
      <alignment horizontal="center" vertical="center" wrapText="1"/>
    </xf>
    <xf numFmtId="164" fontId="5" fillId="0" borderId="53" xfId="0" applyNumberFormat="1" applyFont="1" applyBorder="1" applyAlignment="1">
      <alignment horizontal="center" vertical="center"/>
    </xf>
    <xf numFmtId="0" fontId="1" fillId="0" borderId="0" xfId="0" applyFont="1" applyBorder="1" applyAlignment="1">
      <alignment horizontal="right" vertical="center"/>
    </xf>
    <xf numFmtId="0" fontId="5" fillId="0" borderId="16" xfId="0" applyFont="1" applyBorder="1" applyAlignment="1">
      <alignment horizontal="right" vertical="center"/>
    </xf>
    <xf numFmtId="0" fontId="5" fillId="0" borderId="17" xfId="0" applyFont="1" applyBorder="1" applyAlignment="1">
      <alignment horizontal="right" vertical="center"/>
    </xf>
    <xf numFmtId="0" fontId="5" fillId="0" borderId="18" xfId="0" applyFont="1" applyBorder="1" applyAlignment="1">
      <alignment horizontal="right" vertical="center"/>
    </xf>
    <xf numFmtId="0" fontId="5" fillId="0" borderId="19" xfId="0" applyFont="1" applyBorder="1" applyAlignment="1">
      <alignment horizontal="right" vertical="center"/>
    </xf>
    <xf numFmtId="0" fontId="5" fillId="0" borderId="9" xfId="0" applyFont="1" applyBorder="1" applyAlignment="1">
      <alignment horizontal="center" vertical="center"/>
    </xf>
    <xf numFmtId="0" fontId="5" fillId="0" borderId="23" xfId="0" applyFont="1" applyBorder="1" applyAlignment="1">
      <alignment horizontal="center" vertical="center"/>
    </xf>
    <xf numFmtId="0" fontId="5" fillId="0" borderId="12" xfId="0" applyFont="1" applyBorder="1" applyAlignment="1">
      <alignment horizontal="center" vertical="center"/>
    </xf>
    <xf numFmtId="0" fontId="4" fillId="0" borderId="18" xfId="0" applyFont="1" applyBorder="1" applyAlignment="1">
      <alignment vertical="center"/>
    </xf>
    <xf numFmtId="0" fontId="4" fillId="0" borderId="19" xfId="0" applyFont="1" applyBorder="1" applyAlignment="1">
      <alignment vertical="center"/>
    </xf>
    <xf numFmtId="164" fontId="4" fillId="0" borderId="16" xfId="0" applyNumberFormat="1" applyFont="1" applyBorder="1" applyAlignment="1">
      <alignment vertical="center"/>
    </xf>
    <xf numFmtId="164" fontId="4" fillId="0" borderId="17" xfId="0" applyNumberFormat="1" applyFont="1" applyBorder="1" applyAlignment="1">
      <alignment vertical="center"/>
    </xf>
    <xf numFmtId="164" fontId="5" fillId="0" borderId="7" xfId="0" applyNumberFormat="1" applyFont="1" applyBorder="1" applyAlignment="1">
      <alignment horizontal="right" vertical="center"/>
    </xf>
    <xf numFmtId="164" fontId="5" fillId="0" borderId="8" xfId="0" applyNumberFormat="1" applyFont="1" applyBorder="1" applyAlignment="1">
      <alignment horizontal="right" vertical="center"/>
    </xf>
    <xf numFmtId="164" fontId="4" fillId="0" borderId="2" xfId="0" applyNumberFormat="1" applyFont="1" applyBorder="1" applyAlignment="1">
      <alignment vertical="center"/>
    </xf>
    <xf numFmtId="164" fontId="4" fillId="0" borderId="4" xfId="0" applyNumberFormat="1" applyFont="1" applyBorder="1" applyAlignment="1">
      <alignment vertical="center"/>
    </xf>
    <xf numFmtId="0" fontId="4" fillId="0" borderId="16" xfId="0" applyFont="1" applyBorder="1" applyAlignment="1">
      <alignment vertical="center"/>
    </xf>
    <xf numFmtId="0" fontId="4" fillId="0" borderId="17"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5" fillId="0" borderId="20" xfId="0" applyFont="1" applyBorder="1" applyAlignment="1">
      <alignment horizontal="right" vertical="center"/>
    </xf>
    <xf numFmtId="0" fontId="5" fillId="0" borderId="21" xfId="0" applyFont="1" applyBorder="1" applyAlignment="1">
      <alignment horizontal="right" vertical="center"/>
    </xf>
    <xf numFmtId="0" fontId="4" fillId="0" borderId="13" xfId="0" applyFont="1" applyBorder="1" applyAlignment="1">
      <alignment vertical="center"/>
    </xf>
    <xf numFmtId="0" fontId="4" fillId="0" borderId="41" xfId="0" applyFont="1" applyBorder="1" applyAlignment="1">
      <alignment vertical="center"/>
    </xf>
    <xf numFmtId="0" fontId="4" fillId="0" borderId="33" xfId="0" applyFont="1" applyBorder="1" applyAlignment="1">
      <alignment vertical="center"/>
    </xf>
    <xf numFmtId="0" fontId="4" fillId="0" borderId="51" xfId="0" applyFont="1" applyBorder="1" applyAlignment="1">
      <alignment vertical="center"/>
    </xf>
    <xf numFmtId="0" fontId="4" fillId="0" borderId="52" xfId="0" applyFont="1" applyBorder="1" applyAlignment="1">
      <alignment vertical="center"/>
    </xf>
    <xf numFmtId="0" fontId="5" fillId="0" borderId="53" xfId="0" applyFont="1" applyBorder="1" applyAlignment="1">
      <alignment horizontal="center"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4" fillId="0" borderId="50" xfId="0" applyFont="1" applyBorder="1" applyAlignment="1">
      <alignment vertical="center"/>
    </xf>
    <xf numFmtId="0" fontId="4" fillId="0" borderId="46" xfId="0" applyFont="1" applyBorder="1" applyAlignment="1">
      <alignment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2" xfId="0" applyFont="1" applyBorder="1" applyAlignment="1">
      <alignment horizontal="center" vertical="center" wrapText="1"/>
    </xf>
    <xf numFmtId="0" fontId="5" fillId="0" borderId="4" xfId="0" applyFont="1" applyBorder="1" applyAlignment="1">
      <alignment horizontal="center" vertical="center" wrapText="1"/>
    </xf>
    <xf numFmtId="0" fontId="3" fillId="0" borderId="43" xfId="0" applyFont="1" applyBorder="1" applyAlignment="1">
      <alignment horizontal="left"/>
    </xf>
    <xf numFmtId="0" fontId="8" fillId="0" borderId="0" xfId="0" applyFont="1" applyFill="1" applyAlignment="1">
      <alignment horizontal="left" vertical="center" wrapText="1"/>
    </xf>
    <xf numFmtId="0" fontId="5" fillId="0" borderId="16" xfId="0" applyFont="1" applyBorder="1" applyAlignment="1">
      <alignment horizontal="left" vertical="center"/>
    </xf>
    <xf numFmtId="0" fontId="5" fillId="0" borderId="32" xfId="0" applyFont="1" applyBorder="1" applyAlignment="1">
      <alignment horizontal="left" vertical="center"/>
    </xf>
    <xf numFmtId="0" fontId="3" fillId="0" borderId="23" xfId="0" applyFont="1" applyBorder="1" applyAlignment="1">
      <alignment horizontal="center" vertical="center"/>
    </xf>
    <xf numFmtId="0" fontId="3" fillId="0" borderId="12" xfId="0" applyFont="1" applyBorder="1" applyAlignment="1">
      <alignment horizontal="center" vertical="center"/>
    </xf>
    <xf numFmtId="0" fontId="5" fillId="0" borderId="9" xfId="0" applyFont="1" applyBorder="1" applyAlignment="1">
      <alignment horizontal="left" vertical="center"/>
    </xf>
    <xf numFmtId="0" fontId="3" fillId="0" borderId="25" xfId="0" applyFont="1" applyBorder="1" applyAlignment="1">
      <alignment horizontal="left" vertical="center"/>
    </xf>
    <xf numFmtId="0" fontId="5" fillId="0" borderId="18" xfId="0" applyFont="1" applyBorder="1" applyAlignment="1">
      <alignment horizontal="center" vertical="center"/>
    </xf>
    <xf numFmtId="0" fontId="5" fillId="0" borderId="45" xfId="0" applyFont="1" applyBorder="1" applyAlignment="1">
      <alignment horizontal="center" vertical="center"/>
    </xf>
    <xf numFmtId="0" fontId="6" fillId="0" borderId="9" xfId="0" applyFont="1" applyBorder="1" applyAlignment="1"/>
    <xf numFmtId="0" fontId="0" fillId="0" borderId="12" xfId="0" applyBorder="1" applyAlignment="1"/>
    <xf numFmtId="164" fontId="0" fillId="0" borderId="9" xfId="0" applyNumberFormat="1" applyBorder="1" applyAlignment="1">
      <alignment horizontal="center"/>
    </xf>
    <xf numFmtId="0" fontId="0" fillId="0" borderId="12" xfId="0" applyBorder="1" applyAlignment="1">
      <alignment horizontal="center"/>
    </xf>
    <xf numFmtId="0" fontId="3" fillId="0" borderId="0" xfId="0" applyFont="1" applyAlignment="1">
      <alignment horizontal="right"/>
    </xf>
    <xf numFmtId="0" fontId="0" fillId="0" borderId="43" xfId="0" applyBorder="1" applyAlignment="1">
      <alignment horizontal="left"/>
    </xf>
    <xf numFmtId="0" fontId="5" fillId="0" borderId="9" xfId="0" applyFont="1" applyFill="1" applyBorder="1" applyAlignment="1">
      <alignment horizontal="center"/>
    </xf>
    <xf numFmtId="0" fontId="5" fillId="0" borderId="12" xfId="0" applyFont="1" applyFill="1" applyBorder="1" applyAlignment="1">
      <alignment horizontal="center"/>
    </xf>
    <xf numFmtId="0" fontId="6" fillId="0" borderId="9" xfId="0" applyFont="1" applyBorder="1" applyAlignment="1">
      <alignment horizontal="center"/>
    </xf>
    <xf numFmtId="0" fontId="0" fillId="0" borderId="12" xfId="0" applyFont="1" applyBorder="1" applyAlignment="1">
      <alignment horizontal="center"/>
    </xf>
    <xf numFmtId="0" fontId="5" fillId="0" borderId="9" xfId="0" applyFont="1" applyBorder="1" applyAlignment="1">
      <alignment horizontal="center"/>
    </xf>
    <xf numFmtId="0" fontId="6" fillId="0" borderId="12" xfId="0" applyFont="1" applyBorder="1" applyAlignment="1">
      <alignment horizontal="center"/>
    </xf>
    <xf numFmtId="0" fontId="2" fillId="0" borderId="16" xfId="0" applyFont="1" applyBorder="1" applyAlignment="1">
      <alignment vertical="center"/>
    </xf>
    <xf numFmtId="0" fontId="2" fillId="0" borderId="47" xfId="0" applyFont="1" applyBorder="1" applyAlignment="1">
      <alignment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48" xfId="0" applyFont="1" applyBorder="1" applyAlignment="1">
      <alignment vertical="center"/>
    </xf>
    <xf numFmtId="0" fontId="2" fillId="0" borderId="19" xfId="0" applyFont="1" applyBorder="1" applyAlignment="1">
      <alignment vertical="center"/>
    </xf>
    <xf numFmtId="0" fontId="5" fillId="0" borderId="16" xfId="0" applyFont="1" applyBorder="1" applyAlignment="1">
      <alignment horizontal="center" vertical="center"/>
    </xf>
    <xf numFmtId="0" fontId="5" fillId="0" borderId="47" xfId="0" applyFont="1" applyBorder="1" applyAlignment="1">
      <alignment horizontal="center" vertical="center"/>
    </xf>
    <xf numFmtId="0" fontId="5" fillId="0" borderId="17" xfId="0" applyFont="1" applyBorder="1" applyAlignment="1">
      <alignment horizontal="center" vertical="center"/>
    </xf>
    <xf numFmtId="0" fontId="2" fillId="2" borderId="49" xfId="0" applyFont="1" applyFill="1" applyBorder="1" applyAlignment="1">
      <alignment horizontal="center" vertical="center"/>
    </xf>
    <xf numFmtId="0" fontId="2" fillId="2" borderId="40" xfId="0" applyFont="1" applyFill="1" applyBorder="1" applyAlignment="1">
      <alignment horizontal="center" vertical="center"/>
    </xf>
  </cellXfs>
  <cellStyles count="1">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0" formatCode="General"/>
    </dxf>
    <dxf>
      <numFmt numFmtId="0" formatCode="General"/>
    </dxf>
    <dxf>
      <numFmt numFmtId="0" formatCode="Genera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4</xdr:row>
          <xdr:rowOff>9525</xdr:rowOff>
        </xdr:from>
        <xdr:to>
          <xdr:col>10</xdr:col>
          <xdr:colOff>9525</xdr:colOff>
          <xdr:row>5</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Data to Print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0300-000000000000}" autoFormatId="16" applyNumberFormats="0" applyBorderFormats="0" applyFontFormats="0" applyPatternFormats="0" applyAlignmentFormats="0" applyWidthHeightFormats="0">
  <queryTableRefresh nextId="6">
    <queryTableFields count="5">
      <queryTableField id="1" name="lName" tableColumnId="1"/>
      <queryTableField id="2" name="fName" tableColumnId="2"/>
      <queryTableField id="3" name="offType" tableColumnId="3"/>
      <queryTableField id="4" name="offAmt" tableColumnId="4"/>
      <queryTableField id="5" name="chkNu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000000-0016-0000-0400-000001000000}" autoFormatId="16" applyNumberFormats="0" applyBorderFormats="0" applyFontFormats="0" applyPatternFormats="0" applyAlignmentFormats="0" applyWidthHeightFormats="0">
  <queryTableRefresh nextId="2">
    <queryTableFields count="1">
      <queryTableField id="1" name="Misc Data"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00000000-0016-0000-0500-000002000000}" autoFormatId="16" applyNumberFormats="0" applyBorderFormats="0" applyFontFormats="0" applyPatternFormats="0" applyAlignmentFormats="0" applyWidthHeightFormats="0">
  <queryTableRefresh nextId="10">
    <queryTableFields count="7">
      <queryTableField id="1" name="lName" tableColumnId="1"/>
      <queryTableField id="8" name="fNames" tableColumnId="2"/>
      <queryTableField id="3" name="notes1" tableColumnId="3"/>
      <queryTableField id="4" name="notes2" tableColumnId="4"/>
      <queryTableField id="5" name="notes3" tableColumnId="5"/>
      <queryTableField id="6" name="notes4" tableColumnId="6"/>
      <queryTableField id="7" name="notes5"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EFF6DB-A9FD-419C-A6C7-586E75C5F2D5}" name="WeekDonor" displayName="WeekDonor" ref="A1:E3" tableType="queryTable" totalsRowShown="0">
  <autoFilter ref="A1:E3" xr:uid="{3D5CCEE6-510A-4FA0-ABFC-68C6F51E5FBF}"/>
  <tableColumns count="5">
    <tableColumn id="1" xr3:uid="{A0725FA6-74EE-4251-B877-3AEEF4124FE3}" uniqueName="1" name="Column1" queryTableFieldId="1" dataDxfId="12"/>
    <tableColumn id="2" xr3:uid="{55EC7C81-3CDA-4C0F-A702-74854B2C128D}" uniqueName="2" name="Column2" queryTableFieldId="2" dataDxfId="11"/>
    <tableColumn id="3" xr3:uid="{2DC1F34F-424D-457A-B4C7-F6F33B0625FD}" uniqueName="3" name="Column3" queryTableFieldId="3" dataDxfId="10"/>
    <tableColumn id="4" xr3:uid="{6248C094-E1B3-46B8-87BF-2D88879A8B85}" uniqueName="4" name="Column4" queryTableFieldId="4" dataDxfId="9"/>
    <tableColumn id="5" xr3:uid="{B36DE017-BA3C-4A4B-91B7-4138DE0E09CD}" uniqueName="5" name="Column5"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63781D0-6E0B-4153-96F5-A4705C09CCB1}" name="Summary" displayName="Summary" ref="A1:A23" tableType="queryTable" totalsRowShown="0">
  <autoFilter ref="A1:A23" xr:uid="{2A8D472E-3331-400B-A34D-2CE01E11419E}"/>
  <tableColumns count="1">
    <tableColumn id="1" xr3:uid="{E88125E2-5754-4C46-B22B-5E6CA75FF515}" uniqueName="1" name="Column1" queryTableFieldId="1"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0FEEAF-EA17-43F4-AF77-2886E77C57CC}" name="NewDonor" displayName="NewDonor" ref="A1:G2" tableType="queryTable" insertRow="1" totalsRowShown="0">
  <autoFilter ref="A1:G2" xr:uid="{2FBF6B52-C8AB-4DA4-9504-D8FEBCCDC6CA}"/>
  <tableColumns count="7">
    <tableColumn id="1" xr3:uid="{5F46B052-5856-4EFB-92A9-F316B5B91D36}" uniqueName="1" name="Column1" queryTableFieldId="1" dataDxfId="6"/>
    <tableColumn id="2" xr3:uid="{254CF33C-BE97-40A6-9962-B8BCBD6E54B0}" uniqueName="2" name="Column2" queryTableFieldId="8" dataDxfId="5"/>
    <tableColumn id="3" xr3:uid="{466E60D3-D162-4C1C-91D4-1A0BE0CA87E2}" uniqueName="3" name="Column3" queryTableFieldId="3" dataDxfId="4"/>
    <tableColumn id="4" xr3:uid="{40EB2212-28DD-4CDA-AFEC-CB88DB88DE5A}" uniqueName="4" name="Column4" queryTableFieldId="4" dataDxfId="3"/>
    <tableColumn id="5" xr3:uid="{16ABDBFA-4500-4153-9150-C2472FFFF3E3}" uniqueName="5" name="Column5" queryTableFieldId="5" dataDxfId="2"/>
    <tableColumn id="6" xr3:uid="{34CBBE93-C7F5-4D59-ACF9-5200F3654D77}" uniqueName="6" name="Column6" queryTableFieldId="6" dataDxfId="1"/>
    <tableColumn id="7" xr3:uid="{8ECFD3CC-9206-4643-A5D5-37283452DC16}" uniqueName="7" name="Column7"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103"/>
  <sheetViews>
    <sheetView tabSelected="1" view="pageBreakPreview" zoomScaleNormal="100" zoomScaleSheetLayoutView="100" workbookViewId="0">
      <selection activeCell="B3" sqref="B3"/>
    </sheetView>
  </sheetViews>
  <sheetFormatPr defaultRowHeight="15.75" x14ac:dyDescent="0.25"/>
  <cols>
    <col min="1" max="1" width="7.5703125" style="5" customWidth="1"/>
    <col min="2" max="2" width="30.7109375" style="5" customWidth="1"/>
    <col min="3" max="3" width="31.140625" style="5" customWidth="1"/>
    <col min="4" max="4" width="2.7109375" style="5" bestFit="1" customWidth="1"/>
    <col min="5" max="5" width="17.7109375" style="5" customWidth="1"/>
    <col min="6" max="6" width="14.140625" style="76" customWidth="1"/>
    <col min="7" max="9" width="9.140625" style="5"/>
    <col min="10" max="10" width="11.7109375" style="5" customWidth="1"/>
    <col min="11" max="16384" width="9.140625" style="5"/>
  </cols>
  <sheetData>
    <row r="1" spans="1:15" ht="16.5" thickBot="1" x14ac:dyDescent="0.3">
      <c r="A1" s="148" t="s">
        <v>0</v>
      </c>
      <c r="B1" s="148"/>
      <c r="C1" s="148"/>
      <c r="D1" s="148"/>
      <c r="E1" s="148"/>
      <c r="F1" s="148"/>
      <c r="J1" s="6"/>
    </row>
    <row r="2" spans="1:15" x14ac:dyDescent="0.25">
      <c r="A2" s="7"/>
      <c r="B2" s="8"/>
      <c r="C2" s="9"/>
      <c r="D2" s="9"/>
      <c r="E2" s="10"/>
      <c r="F2" s="11"/>
    </row>
    <row r="3" spans="1:15" x14ac:dyDescent="0.25">
      <c r="A3" s="1" t="s">
        <v>6</v>
      </c>
      <c r="B3" s="2">
        <f ca="1">TODAY()</f>
        <v>43090</v>
      </c>
      <c r="D3" s="3"/>
      <c r="E3" s="3" t="s">
        <v>58</v>
      </c>
      <c r="F3" s="4" t="s">
        <v>1</v>
      </c>
    </row>
    <row r="4" spans="1:15" ht="16.5" thickBot="1" x14ac:dyDescent="0.3">
      <c r="A4" s="12"/>
      <c r="B4" s="13"/>
      <c r="C4" s="14"/>
      <c r="D4" s="14"/>
      <c r="E4" s="15"/>
      <c r="F4" s="16"/>
    </row>
    <row r="5" spans="1:15" ht="32.25" thickBot="1" x14ac:dyDescent="0.3">
      <c r="A5" s="149" t="s">
        <v>2</v>
      </c>
      <c r="B5" s="150"/>
      <c r="C5" s="155" t="s">
        <v>3</v>
      </c>
      <c r="D5" s="156"/>
      <c r="E5" s="117" t="s">
        <v>4</v>
      </c>
      <c r="F5" s="118" t="s">
        <v>5</v>
      </c>
    </row>
    <row r="6" spans="1:15" x14ac:dyDescent="0.25">
      <c r="A6" s="151" t="str">
        <f>IF(ContribLoad!$A2&lt;&gt;"",(ContribLoad!$A2&amp;","&amp;ContribLoad!$B2),"")</f>
        <v/>
      </c>
      <c r="B6" s="152"/>
      <c r="C6" s="152" t="str">
        <f>IF(A6="","",ContribLoad!$C2)</f>
        <v/>
      </c>
      <c r="D6" s="152"/>
      <c r="E6" s="110" t="str">
        <f>IF(A6="","",VALUE(ContribLoad!$D2))</f>
        <v/>
      </c>
      <c r="F6" s="111" t="str">
        <f>IF(A6="","",ContribLoad!$E2)</f>
        <v/>
      </c>
    </row>
    <row r="7" spans="1:15" ht="15.75" customHeight="1" x14ac:dyDescent="0.25">
      <c r="A7" s="143" t="str">
        <f>IF(ContribLoad!$A3&lt;&gt;"",(ContribLoad!$A3&amp;","&amp;ContribLoad!$B3),"")</f>
        <v/>
      </c>
      <c r="B7" s="144"/>
      <c r="C7" s="144" t="str">
        <f>IF(A7="","",ContribLoad!$C3)</f>
        <v/>
      </c>
      <c r="D7" s="144"/>
      <c r="E7" s="112" t="str">
        <f>IF(A7="","",VALUE(ContribLoad!$D3))</f>
        <v/>
      </c>
      <c r="F7" s="113" t="str">
        <f>IF(A7="","",ContribLoad!$E3)</f>
        <v/>
      </c>
      <c r="H7" s="158" t="s">
        <v>60</v>
      </c>
      <c r="I7" s="158"/>
      <c r="J7" s="158"/>
      <c r="K7" s="158"/>
      <c r="L7" s="158"/>
      <c r="M7" s="158"/>
      <c r="N7" s="158"/>
      <c r="O7" s="158"/>
    </row>
    <row r="8" spans="1:15" ht="15.75" customHeight="1" x14ac:dyDescent="0.25">
      <c r="A8" s="143" t="str">
        <f>IF(ContribLoad!$A4&lt;&gt;"",(ContribLoad!$A4&amp;","&amp;ContribLoad!$B4),"")</f>
        <v/>
      </c>
      <c r="B8" s="144"/>
      <c r="C8" s="144" t="str">
        <f>IF(A8="","",ContribLoad!$C4)</f>
        <v/>
      </c>
      <c r="D8" s="144"/>
      <c r="E8" s="112" t="str">
        <f>IF(A8="","",VALUE(ContribLoad!$D4))</f>
        <v/>
      </c>
      <c r="F8" s="113" t="str">
        <f>IF(A8="","",ContribLoad!$E4)</f>
        <v/>
      </c>
      <c r="H8" s="158"/>
      <c r="I8" s="158"/>
      <c r="J8" s="158"/>
      <c r="K8" s="158"/>
      <c r="L8" s="158"/>
      <c r="M8" s="158"/>
      <c r="N8" s="158"/>
      <c r="O8" s="158"/>
    </row>
    <row r="9" spans="1:15" ht="15.75" customHeight="1" x14ac:dyDescent="0.25">
      <c r="A9" s="143" t="str">
        <f>IF(ContribLoad!$A5&lt;&gt;"",(ContribLoad!$A5&amp;","&amp;ContribLoad!$B5),"")</f>
        <v/>
      </c>
      <c r="B9" s="144"/>
      <c r="C9" s="144" t="str">
        <f>IF(A9="","",ContribLoad!$C5)</f>
        <v/>
      </c>
      <c r="D9" s="144"/>
      <c r="E9" s="112" t="str">
        <f>IF(A9="","",VALUE(ContribLoad!$D5))</f>
        <v/>
      </c>
      <c r="F9" s="113" t="str">
        <f>IF(A9="","",ContribLoad!$E5)</f>
        <v/>
      </c>
      <c r="H9" s="158"/>
      <c r="I9" s="158"/>
      <c r="J9" s="158"/>
      <c r="K9" s="158"/>
      <c r="L9" s="158"/>
      <c r="M9" s="158"/>
      <c r="N9" s="158"/>
      <c r="O9" s="158"/>
    </row>
    <row r="10" spans="1:15" ht="15.75" customHeight="1" x14ac:dyDescent="0.25">
      <c r="A10" s="143" t="str">
        <f>IF(ContribLoad!$A6&lt;&gt;"",(ContribLoad!$A6&amp;","&amp;ContribLoad!$B6),"")</f>
        <v/>
      </c>
      <c r="B10" s="144"/>
      <c r="C10" s="144" t="str">
        <f>IF(A10="","",ContribLoad!$C6)</f>
        <v/>
      </c>
      <c r="D10" s="144"/>
      <c r="E10" s="112" t="str">
        <f>IF(A10="","",VALUE(ContribLoad!$D6))</f>
        <v/>
      </c>
      <c r="F10" s="113" t="str">
        <f>IF(A10="","",ContribLoad!$E6)</f>
        <v/>
      </c>
      <c r="H10" s="158"/>
      <c r="I10" s="158"/>
      <c r="J10" s="158"/>
      <c r="K10" s="158"/>
      <c r="L10" s="158"/>
      <c r="M10" s="158"/>
      <c r="N10" s="158"/>
      <c r="O10" s="158"/>
    </row>
    <row r="11" spans="1:15" ht="15.75" customHeight="1" x14ac:dyDescent="0.25">
      <c r="A11" s="143" t="str">
        <f>IF(ContribLoad!$A7&lt;&gt;"",(ContribLoad!$A7&amp;","&amp;ContribLoad!$B7),"")</f>
        <v/>
      </c>
      <c r="B11" s="144"/>
      <c r="C11" s="144" t="str">
        <f>IF(A11="","",ContribLoad!$C7)</f>
        <v/>
      </c>
      <c r="D11" s="144"/>
      <c r="E11" s="112" t="str">
        <f>IF(A11="","",VALUE(ContribLoad!$D7))</f>
        <v/>
      </c>
      <c r="F11" s="113" t="str">
        <f>IF(A11="","",ContribLoad!$E7)</f>
        <v/>
      </c>
      <c r="H11" s="158"/>
      <c r="I11" s="158"/>
      <c r="J11" s="158"/>
      <c r="K11" s="158"/>
      <c r="L11" s="158"/>
      <c r="M11" s="158"/>
      <c r="N11" s="158"/>
      <c r="O11" s="158"/>
    </row>
    <row r="12" spans="1:15" ht="15.75" customHeight="1" x14ac:dyDescent="0.25">
      <c r="A12" s="143" t="str">
        <f>IF(ContribLoad!$A8&lt;&gt;"",(ContribLoad!$A8&amp;","&amp;ContribLoad!$B8),"")</f>
        <v/>
      </c>
      <c r="B12" s="144"/>
      <c r="C12" s="144" t="str">
        <f>IF(A12="","",ContribLoad!$C8)</f>
        <v/>
      </c>
      <c r="D12" s="144"/>
      <c r="E12" s="112" t="str">
        <f>IF(A12="","",VALUE(ContribLoad!$D8))</f>
        <v/>
      </c>
      <c r="F12" s="113" t="str">
        <f>IF(A12="","",ContribLoad!$E8)</f>
        <v/>
      </c>
      <c r="H12" s="158"/>
      <c r="I12" s="158"/>
      <c r="J12" s="158"/>
      <c r="K12" s="158"/>
      <c r="L12" s="158"/>
      <c r="M12" s="158"/>
      <c r="N12" s="158"/>
      <c r="O12" s="158"/>
    </row>
    <row r="13" spans="1:15" ht="15.75" customHeight="1" x14ac:dyDescent="0.25">
      <c r="A13" s="143" t="str">
        <f>IF(ContribLoad!$A9&lt;&gt;"",(ContribLoad!$A9&amp;","&amp;ContribLoad!$B9),"")</f>
        <v/>
      </c>
      <c r="B13" s="144"/>
      <c r="C13" s="144" t="str">
        <f>IF(A13="","",ContribLoad!$C9)</f>
        <v/>
      </c>
      <c r="D13" s="144"/>
      <c r="E13" s="112" t="str">
        <f>IF(A13="","",VALUE(ContribLoad!$D9))</f>
        <v/>
      </c>
      <c r="F13" s="113" t="str">
        <f>IF(A13="","",ContribLoad!$E9)</f>
        <v/>
      </c>
      <c r="H13" s="158"/>
      <c r="I13" s="158"/>
      <c r="J13" s="158"/>
      <c r="K13" s="158"/>
      <c r="L13" s="158"/>
      <c r="M13" s="158"/>
      <c r="N13" s="158"/>
      <c r="O13" s="158"/>
    </row>
    <row r="14" spans="1:15" ht="15.75" customHeight="1" x14ac:dyDescent="0.25">
      <c r="A14" s="143" t="str">
        <f>IF(ContribLoad!$A10&lt;&gt;"",(ContribLoad!$A10&amp;","&amp;ContribLoad!$B10),"")</f>
        <v/>
      </c>
      <c r="B14" s="144"/>
      <c r="C14" s="144" t="str">
        <f>IF(A14="","",ContribLoad!$C10)</f>
        <v/>
      </c>
      <c r="D14" s="144"/>
      <c r="E14" s="112" t="str">
        <f>IF(A14="","",VALUE(ContribLoad!$D10))</f>
        <v/>
      </c>
      <c r="F14" s="113" t="str">
        <f>IF(A14="","",ContribLoad!$E10)</f>
        <v/>
      </c>
      <c r="H14" s="158"/>
      <c r="I14" s="158"/>
      <c r="J14" s="158"/>
      <c r="K14" s="158"/>
      <c r="L14" s="158"/>
      <c r="M14" s="158"/>
      <c r="N14" s="158"/>
      <c r="O14" s="158"/>
    </row>
    <row r="15" spans="1:15" ht="15.75" customHeight="1" x14ac:dyDescent="0.25">
      <c r="A15" s="143" t="str">
        <f>IF(ContribLoad!$A11&lt;&gt;"",(ContribLoad!$A11&amp;","&amp;ContribLoad!$B11),"")</f>
        <v/>
      </c>
      <c r="B15" s="144"/>
      <c r="C15" s="144" t="str">
        <f>IF(A15="","",ContribLoad!$C11)</f>
        <v/>
      </c>
      <c r="D15" s="144"/>
      <c r="E15" s="112" t="str">
        <f>IF(A15="","",VALUE(ContribLoad!$D11))</f>
        <v/>
      </c>
      <c r="F15" s="113" t="str">
        <f>IF(A15="","",ContribLoad!$E11)</f>
        <v/>
      </c>
      <c r="H15" s="158"/>
      <c r="I15" s="158"/>
      <c r="J15" s="158"/>
      <c r="K15" s="158"/>
      <c r="L15" s="158"/>
      <c r="M15" s="158"/>
      <c r="N15" s="158"/>
      <c r="O15" s="158"/>
    </row>
    <row r="16" spans="1:15" ht="15.75" customHeight="1" x14ac:dyDescent="0.25">
      <c r="A16" s="143" t="str">
        <f>IF(ContribLoad!$A12&lt;&gt;"",(ContribLoad!$A12&amp;","&amp;ContribLoad!$B12),"")</f>
        <v/>
      </c>
      <c r="B16" s="144"/>
      <c r="C16" s="144" t="str">
        <f>IF(A16="","",ContribLoad!$C12)</f>
        <v/>
      </c>
      <c r="D16" s="144"/>
      <c r="E16" s="112" t="str">
        <f>IF(A16="","",VALUE(ContribLoad!$D12))</f>
        <v/>
      </c>
      <c r="F16" s="113" t="str">
        <f>IF(A16="","",ContribLoad!$E12)</f>
        <v/>
      </c>
      <c r="H16" s="158"/>
      <c r="I16" s="158"/>
      <c r="J16" s="158"/>
      <c r="K16" s="158"/>
      <c r="L16" s="158"/>
      <c r="M16" s="158"/>
      <c r="N16" s="158"/>
      <c r="O16" s="158"/>
    </row>
    <row r="17" spans="1:15" ht="15.75" customHeight="1" x14ac:dyDescent="0.25">
      <c r="A17" s="143" t="str">
        <f>IF(ContribLoad!$A13&lt;&gt;"",(ContribLoad!$A13&amp;","&amp;ContribLoad!$B13),"")</f>
        <v/>
      </c>
      <c r="B17" s="144"/>
      <c r="C17" s="144" t="str">
        <f>IF(A17="","",ContribLoad!$C13)</f>
        <v/>
      </c>
      <c r="D17" s="144"/>
      <c r="E17" s="112" t="str">
        <f>IF(A17="","",VALUE(ContribLoad!$D13))</f>
        <v/>
      </c>
      <c r="F17" s="113" t="str">
        <f>IF(A17="","",ContribLoad!$E13)</f>
        <v/>
      </c>
      <c r="H17" s="158"/>
      <c r="I17" s="158"/>
      <c r="J17" s="158"/>
      <c r="K17" s="158"/>
      <c r="L17" s="158"/>
      <c r="M17" s="158"/>
      <c r="N17" s="158"/>
      <c r="O17" s="158"/>
    </row>
    <row r="18" spans="1:15" ht="15.75" customHeight="1" x14ac:dyDescent="0.25">
      <c r="A18" s="143" t="str">
        <f>IF(ContribLoad!$A14&lt;&gt;"",(ContribLoad!$A14&amp;","&amp;ContribLoad!$B14),"")</f>
        <v/>
      </c>
      <c r="B18" s="144"/>
      <c r="C18" s="144" t="str">
        <f>IF(A18="","",ContribLoad!$C14)</f>
        <v/>
      </c>
      <c r="D18" s="144"/>
      <c r="E18" s="112" t="str">
        <f>IF(A18="","",VALUE(ContribLoad!$D14))</f>
        <v/>
      </c>
      <c r="F18" s="113" t="str">
        <f>IF(A18="","",ContribLoad!$E14)</f>
        <v/>
      </c>
      <c r="H18" s="158"/>
      <c r="I18" s="158"/>
      <c r="J18" s="158"/>
      <c r="K18" s="158"/>
      <c r="L18" s="158"/>
      <c r="M18" s="158"/>
      <c r="N18" s="158"/>
      <c r="O18" s="158"/>
    </row>
    <row r="19" spans="1:15" ht="15.75" customHeight="1" x14ac:dyDescent="0.25">
      <c r="A19" s="143" t="str">
        <f>IF(ContribLoad!$A15&lt;&gt;"",(ContribLoad!$A15&amp;","&amp;ContribLoad!$B15),"")</f>
        <v/>
      </c>
      <c r="B19" s="144"/>
      <c r="C19" s="144" t="str">
        <f>IF(A19="","",ContribLoad!$C15)</f>
        <v/>
      </c>
      <c r="D19" s="144"/>
      <c r="E19" s="112" t="str">
        <f>IF(A19="","",VALUE(ContribLoad!$D15))</f>
        <v/>
      </c>
      <c r="F19" s="113" t="str">
        <f>IF(A19="","",ContribLoad!$E15)</f>
        <v/>
      </c>
      <c r="H19" s="158"/>
      <c r="I19" s="158"/>
      <c r="J19" s="158"/>
      <c r="K19" s="158"/>
      <c r="L19" s="158"/>
      <c r="M19" s="158"/>
      <c r="N19" s="158"/>
      <c r="O19" s="158"/>
    </row>
    <row r="20" spans="1:15" ht="15.75" customHeight="1" x14ac:dyDescent="0.25">
      <c r="A20" s="143" t="str">
        <f>IF(ContribLoad!$A16&lt;&gt;"",(ContribLoad!$A16&amp;","&amp;ContribLoad!$B16),"")</f>
        <v/>
      </c>
      <c r="B20" s="144"/>
      <c r="C20" s="144" t="str">
        <f>IF(A20="","",ContribLoad!$C16)</f>
        <v/>
      </c>
      <c r="D20" s="144"/>
      <c r="E20" s="112" t="str">
        <f>IF(A20="","",VALUE(ContribLoad!$D16))</f>
        <v/>
      </c>
      <c r="F20" s="113" t="str">
        <f>IF(A20="","",ContribLoad!$E16)</f>
        <v/>
      </c>
      <c r="H20" s="116"/>
      <c r="I20" s="116"/>
      <c r="J20" s="116"/>
      <c r="K20" s="116"/>
      <c r="L20" s="116"/>
      <c r="M20" s="116"/>
      <c r="N20" s="116"/>
    </row>
    <row r="21" spans="1:15" ht="15.75" customHeight="1" x14ac:dyDescent="0.25">
      <c r="A21" s="143" t="str">
        <f>IF(ContribLoad!$A17&lt;&gt;"",(ContribLoad!$A17&amp;","&amp;ContribLoad!$B17),"")</f>
        <v/>
      </c>
      <c r="B21" s="144"/>
      <c r="C21" s="144" t="str">
        <f>IF(A21="","",ContribLoad!$C17)</f>
        <v/>
      </c>
      <c r="D21" s="144"/>
      <c r="E21" s="112" t="str">
        <f>IF(A21="","",VALUE(ContribLoad!$D17))</f>
        <v/>
      </c>
      <c r="F21" s="113" t="str">
        <f>IF(A21="","",ContribLoad!$E17)</f>
        <v/>
      </c>
      <c r="H21" s="116"/>
      <c r="I21" s="116"/>
      <c r="J21" s="116"/>
      <c r="K21" s="116"/>
      <c r="L21" s="116"/>
      <c r="M21" s="116"/>
      <c r="N21" s="116"/>
    </row>
    <row r="22" spans="1:15" ht="15.75" customHeight="1" x14ac:dyDescent="0.25">
      <c r="A22" s="143" t="str">
        <f>IF(ContribLoad!$A18&lt;&gt;"",(ContribLoad!$A18&amp;","&amp;ContribLoad!$B18),"")</f>
        <v/>
      </c>
      <c r="B22" s="144"/>
      <c r="C22" s="144" t="str">
        <f>IF(A22="","",ContribLoad!$C18)</f>
        <v/>
      </c>
      <c r="D22" s="144"/>
      <c r="E22" s="112" t="str">
        <f>IF(A22="","",VALUE(ContribLoad!$D18))</f>
        <v/>
      </c>
      <c r="F22" s="113" t="str">
        <f>IF(A22="","",ContribLoad!$E18)</f>
        <v/>
      </c>
      <c r="H22" s="116"/>
      <c r="I22" s="116"/>
      <c r="J22" s="116"/>
      <c r="K22" s="116"/>
      <c r="L22" s="116"/>
      <c r="M22" s="116"/>
      <c r="N22" s="116"/>
    </row>
    <row r="23" spans="1:15" ht="15.75" customHeight="1" x14ac:dyDescent="0.25">
      <c r="A23" s="143" t="str">
        <f>IF(ContribLoad!$A19&lt;&gt;"",(ContribLoad!$A19&amp;","&amp;ContribLoad!$B19),"")</f>
        <v/>
      </c>
      <c r="B23" s="144"/>
      <c r="C23" s="144" t="str">
        <f>IF(A23="","",ContribLoad!$C19)</f>
        <v/>
      </c>
      <c r="D23" s="144"/>
      <c r="E23" s="112" t="str">
        <f>IF(A23="","",VALUE(ContribLoad!$D19))</f>
        <v/>
      </c>
      <c r="F23" s="113" t="str">
        <f>IF(A23="","",ContribLoad!$E19)</f>
        <v/>
      </c>
      <c r="H23" s="116"/>
      <c r="I23" s="116"/>
      <c r="J23" s="116"/>
      <c r="K23" s="116"/>
      <c r="L23" s="116"/>
      <c r="M23" s="116"/>
      <c r="N23" s="116"/>
    </row>
    <row r="24" spans="1:15" ht="15.75" customHeight="1" x14ac:dyDescent="0.25">
      <c r="A24" s="143" t="str">
        <f>IF(ContribLoad!$A20&lt;&gt;"",(ContribLoad!$A20&amp;","&amp;ContribLoad!$B20),"")</f>
        <v/>
      </c>
      <c r="B24" s="144"/>
      <c r="C24" s="144" t="str">
        <f>IF(A24="","",ContribLoad!$C20)</f>
        <v/>
      </c>
      <c r="D24" s="144"/>
      <c r="E24" s="112" t="str">
        <f>IF(A24="","",VALUE(ContribLoad!$D20))</f>
        <v/>
      </c>
      <c r="F24" s="113" t="str">
        <f>IF(A24="","",ContribLoad!$E20)</f>
        <v/>
      </c>
      <c r="H24" s="116"/>
      <c r="I24" s="116"/>
      <c r="J24" s="116"/>
      <c r="K24" s="116"/>
      <c r="L24" s="116"/>
      <c r="M24" s="116"/>
      <c r="N24" s="116"/>
    </row>
    <row r="25" spans="1:15" ht="15.75" customHeight="1" x14ac:dyDescent="0.25">
      <c r="A25" s="143" t="str">
        <f>IF(ContribLoad!$A21&lt;&gt;"",(ContribLoad!$A21&amp;","&amp;ContribLoad!$B21),"")</f>
        <v/>
      </c>
      <c r="B25" s="144"/>
      <c r="C25" s="144" t="str">
        <f>IF(A25="","",ContribLoad!$C21)</f>
        <v/>
      </c>
      <c r="D25" s="144"/>
      <c r="E25" s="112" t="str">
        <f>IF(A25="","",VALUE(ContribLoad!$D21))</f>
        <v/>
      </c>
      <c r="F25" s="113" t="str">
        <f>IF(A25="","",ContribLoad!$E21)</f>
        <v/>
      </c>
      <c r="H25" s="116"/>
      <c r="I25" s="116"/>
      <c r="J25" s="116"/>
      <c r="K25" s="116"/>
      <c r="L25" s="116"/>
      <c r="M25" s="116"/>
      <c r="N25" s="116"/>
    </row>
    <row r="26" spans="1:15" ht="15.75" customHeight="1" x14ac:dyDescent="0.25">
      <c r="A26" s="143" t="str">
        <f>IF(ContribLoad!$A22&lt;&gt;"",(ContribLoad!$A22&amp;","&amp;ContribLoad!$B22),"")</f>
        <v/>
      </c>
      <c r="B26" s="144"/>
      <c r="C26" s="144" t="str">
        <f>IF(A26="","",ContribLoad!$C22)</f>
        <v/>
      </c>
      <c r="D26" s="144"/>
      <c r="E26" s="112" t="str">
        <f>IF(A26="","",VALUE(ContribLoad!$D22))</f>
        <v/>
      </c>
      <c r="F26" s="113" t="str">
        <f>IF(A26="","",ContribLoad!$E22)</f>
        <v/>
      </c>
      <c r="H26" s="116"/>
      <c r="I26" s="116"/>
      <c r="J26" s="116"/>
      <c r="K26" s="116"/>
      <c r="L26" s="116"/>
      <c r="M26" s="116"/>
      <c r="N26" s="116"/>
    </row>
    <row r="27" spans="1:15" ht="15.75" customHeight="1" x14ac:dyDescent="0.25">
      <c r="A27" s="143" t="str">
        <f>IF(ContribLoad!$A23&lt;&gt;"",(ContribLoad!$A23&amp;","&amp;ContribLoad!$B23),"")</f>
        <v/>
      </c>
      <c r="B27" s="144"/>
      <c r="C27" s="144" t="str">
        <f>IF(A27="","",ContribLoad!$C23)</f>
        <v/>
      </c>
      <c r="D27" s="144"/>
      <c r="E27" s="112" t="str">
        <f>IF(A27="","",VALUE(ContribLoad!$D23))</f>
        <v/>
      </c>
      <c r="F27" s="113" t="str">
        <f>IF(A27="","",ContribLoad!$E23)</f>
        <v/>
      </c>
      <c r="H27" s="116"/>
      <c r="I27" s="116"/>
      <c r="J27" s="116"/>
      <c r="K27" s="116"/>
      <c r="L27" s="116"/>
      <c r="M27" s="116"/>
      <c r="N27" s="116"/>
    </row>
    <row r="28" spans="1:15" ht="15.75" customHeight="1" x14ac:dyDescent="0.25">
      <c r="A28" s="143" t="str">
        <f>IF(ContribLoad!$A24&lt;&gt;"",(ContribLoad!$A24&amp;","&amp;ContribLoad!$B24),"")</f>
        <v/>
      </c>
      <c r="B28" s="144"/>
      <c r="C28" s="144" t="str">
        <f>IF(A28="","",ContribLoad!$C24)</f>
        <v/>
      </c>
      <c r="D28" s="144"/>
      <c r="E28" s="112" t="str">
        <f>IF(A28="","",VALUE(ContribLoad!$D24))</f>
        <v/>
      </c>
      <c r="F28" s="113" t="str">
        <f>IF(A28="","",ContribLoad!$E24)</f>
        <v/>
      </c>
      <c r="H28" s="116"/>
      <c r="I28" s="116"/>
      <c r="J28" s="116"/>
      <c r="K28" s="116"/>
      <c r="L28" s="116"/>
      <c r="M28" s="116"/>
      <c r="N28" s="116"/>
    </row>
    <row r="29" spans="1:15" ht="15.75" customHeight="1" x14ac:dyDescent="0.25">
      <c r="A29" s="143" t="str">
        <f>IF(ContribLoad!$A25&lt;&gt;"",(ContribLoad!$A25&amp;","&amp;ContribLoad!$B25),"")</f>
        <v/>
      </c>
      <c r="B29" s="144"/>
      <c r="C29" s="144" t="str">
        <f>IF(A29="","",ContribLoad!$C25)</f>
        <v/>
      </c>
      <c r="D29" s="144"/>
      <c r="E29" s="112" t="str">
        <f>IF(A29="","",VALUE(ContribLoad!$D25))</f>
        <v/>
      </c>
      <c r="F29" s="113" t="str">
        <f>IF(A29="","",ContribLoad!$E25)</f>
        <v/>
      </c>
      <c r="H29" s="116"/>
      <c r="I29" s="116"/>
      <c r="J29" s="116"/>
      <c r="K29" s="116"/>
      <c r="L29" s="116"/>
      <c r="M29" s="116"/>
      <c r="N29" s="116"/>
    </row>
    <row r="30" spans="1:15" ht="15.75" customHeight="1" x14ac:dyDescent="0.25">
      <c r="A30" s="143" t="str">
        <f>IF(ContribLoad!$A26&lt;&gt;"",(ContribLoad!$A26&amp;","&amp;ContribLoad!$B26),"")</f>
        <v/>
      </c>
      <c r="B30" s="144"/>
      <c r="C30" s="144" t="str">
        <f>IF(A30="","",ContribLoad!$C26)</f>
        <v/>
      </c>
      <c r="D30" s="144"/>
      <c r="E30" s="112" t="str">
        <f>IF(A30="","",VALUE(ContribLoad!$D26))</f>
        <v/>
      </c>
      <c r="F30" s="113" t="str">
        <f>IF(A30="","",ContribLoad!$E26)</f>
        <v/>
      </c>
      <c r="H30" s="116"/>
      <c r="I30" s="116"/>
      <c r="J30" s="116"/>
      <c r="K30" s="116"/>
      <c r="L30" s="116"/>
      <c r="M30" s="116"/>
      <c r="N30" s="116"/>
    </row>
    <row r="31" spans="1:15" ht="15.75" customHeight="1" x14ac:dyDescent="0.25">
      <c r="A31" s="143" t="str">
        <f>IF(ContribLoad!$A27&lt;&gt;"",(ContribLoad!$A27&amp;","&amp;ContribLoad!$B27),"")</f>
        <v/>
      </c>
      <c r="B31" s="144"/>
      <c r="C31" s="144" t="str">
        <f>IF(A31="","",ContribLoad!$C27)</f>
        <v/>
      </c>
      <c r="D31" s="144"/>
      <c r="E31" s="112" t="str">
        <f>IF(A31="","",VALUE(ContribLoad!$D27))</f>
        <v/>
      </c>
      <c r="F31" s="113" t="str">
        <f>IF(A31="","",ContribLoad!$E27)</f>
        <v/>
      </c>
      <c r="H31" s="116"/>
      <c r="I31" s="116"/>
      <c r="J31" s="116"/>
      <c r="K31" s="116"/>
      <c r="L31" s="116"/>
      <c r="M31" s="116"/>
      <c r="N31" s="116"/>
    </row>
    <row r="32" spans="1:15" ht="15.75" customHeight="1" x14ac:dyDescent="0.25">
      <c r="A32" s="143" t="str">
        <f>IF(ContribLoad!$A28&lt;&gt;"",(ContribLoad!$A28&amp;","&amp;ContribLoad!$B28),"")</f>
        <v/>
      </c>
      <c r="B32" s="144"/>
      <c r="C32" s="144" t="str">
        <f>IF(A32="","",ContribLoad!$C28)</f>
        <v/>
      </c>
      <c r="D32" s="144"/>
      <c r="E32" s="112" t="str">
        <f>IF(A32="","",VALUE(ContribLoad!$D28))</f>
        <v/>
      </c>
      <c r="F32" s="113" t="str">
        <f>IF(A32="","",ContribLoad!$E28)</f>
        <v/>
      </c>
      <c r="H32" s="116"/>
      <c r="I32" s="116"/>
      <c r="J32" s="116"/>
      <c r="K32" s="116"/>
      <c r="L32" s="116"/>
      <c r="M32" s="116"/>
      <c r="N32" s="116"/>
    </row>
    <row r="33" spans="1:14" ht="15.75" customHeight="1" x14ac:dyDescent="0.25">
      <c r="A33" s="143" t="str">
        <f>IF(ContribLoad!$A29&lt;&gt;"",(ContribLoad!$A29&amp;","&amp;ContribLoad!$B29),"")</f>
        <v/>
      </c>
      <c r="B33" s="144"/>
      <c r="C33" s="144" t="str">
        <f>IF(A33="","",ContribLoad!$C29)</f>
        <v/>
      </c>
      <c r="D33" s="144"/>
      <c r="E33" s="112" t="str">
        <f>IF(A33="","",VALUE(ContribLoad!$D29))</f>
        <v/>
      </c>
      <c r="F33" s="113" t="str">
        <f>IF(A33="","",ContribLoad!$E29)</f>
        <v/>
      </c>
      <c r="H33" s="116"/>
      <c r="I33" s="116"/>
      <c r="J33" s="116"/>
      <c r="K33" s="116"/>
      <c r="L33" s="116"/>
      <c r="M33" s="116"/>
      <c r="N33" s="116"/>
    </row>
    <row r="34" spans="1:14" x14ac:dyDescent="0.25">
      <c r="A34" s="143" t="str">
        <f>IF(ContribLoad!$A30&lt;&gt;"",(ContribLoad!$A30&amp;","&amp;ContribLoad!$B30),"")</f>
        <v/>
      </c>
      <c r="B34" s="144"/>
      <c r="C34" s="144" t="str">
        <f>IF(A34="","",ContribLoad!$C30)</f>
        <v/>
      </c>
      <c r="D34" s="144"/>
      <c r="E34" s="112" t="str">
        <f>IF(A34="","",VALUE(ContribLoad!$D30))</f>
        <v/>
      </c>
      <c r="F34" s="113" t="str">
        <f>IF(A34="","",ContribLoad!$E30)</f>
        <v/>
      </c>
    </row>
    <row r="35" spans="1:14" x14ac:dyDescent="0.25">
      <c r="A35" s="143" t="str">
        <f>IF(ContribLoad!$A31&lt;&gt;"",(ContribLoad!$A31&amp;","&amp;ContribLoad!$B31),"")</f>
        <v/>
      </c>
      <c r="B35" s="144"/>
      <c r="C35" s="144" t="str">
        <f>IF(A35="","",ContribLoad!$C31)</f>
        <v/>
      </c>
      <c r="D35" s="144"/>
      <c r="E35" s="112" t="str">
        <f>IF(A35="","",VALUE(ContribLoad!$D31))</f>
        <v/>
      </c>
      <c r="F35" s="113" t="str">
        <f>IF(A35="","",ContribLoad!$E31)</f>
        <v/>
      </c>
    </row>
    <row r="36" spans="1:14" x14ac:dyDescent="0.25">
      <c r="A36" s="143" t="str">
        <f>IF(ContribLoad!$A32&lt;&gt;"",(ContribLoad!$A32&amp;","&amp;ContribLoad!$B32),"")</f>
        <v/>
      </c>
      <c r="B36" s="144"/>
      <c r="C36" s="144" t="str">
        <f>IF(A36="","",ContribLoad!$C32)</f>
        <v/>
      </c>
      <c r="D36" s="144"/>
      <c r="E36" s="112" t="str">
        <f>IF(A36="","",VALUE(ContribLoad!$D32))</f>
        <v/>
      </c>
      <c r="F36" s="113" t="str">
        <f>IF(A36="","",ContribLoad!$E32)</f>
        <v/>
      </c>
    </row>
    <row r="37" spans="1:14" x14ac:dyDescent="0.25">
      <c r="A37" s="143" t="str">
        <f>IF(ContribLoad!$A33&lt;&gt;"",(ContribLoad!$A33&amp;","&amp;ContribLoad!$B33),"")</f>
        <v/>
      </c>
      <c r="B37" s="144"/>
      <c r="C37" s="144" t="str">
        <f>IF(A37="","",ContribLoad!$C33)</f>
        <v/>
      </c>
      <c r="D37" s="144"/>
      <c r="E37" s="112" t="str">
        <f>IF(A37="","",VALUE(ContribLoad!$D33))</f>
        <v/>
      </c>
      <c r="F37" s="113" t="str">
        <f>IF(A37="","",ContribLoad!$E33)</f>
        <v/>
      </c>
    </row>
    <row r="38" spans="1:14" x14ac:dyDescent="0.25">
      <c r="A38" s="143" t="str">
        <f>IF(ContribLoad!$A34&lt;&gt;"",(ContribLoad!$A34&amp;","&amp;ContribLoad!$B34),"")</f>
        <v/>
      </c>
      <c r="B38" s="144"/>
      <c r="C38" s="144" t="str">
        <f>IF(A38="","",ContribLoad!$C34)</f>
        <v/>
      </c>
      <c r="D38" s="144"/>
      <c r="E38" s="112" t="str">
        <f>IF(A38="","",VALUE(ContribLoad!$D34))</f>
        <v/>
      </c>
      <c r="F38" s="113" t="str">
        <f>IF(A38="","",ContribLoad!$E34)</f>
        <v/>
      </c>
    </row>
    <row r="39" spans="1:14" x14ac:dyDescent="0.25">
      <c r="A39" s="143" t="str">
        <f>IF(ContribLoad!$A35&lt;&gt;"",(ContribLoad!$A35&amp;","&amp;ContribLoad!$B35),"")</f>
        <v/>
      </c>
      <c r="B39" s="144"/>
      <c r="C39" s="144" t="str">
        <f>IF(A39="","",ContribLoad!$C35)</f>
        <v/>
      </c>
      <c r="D39" s="144"/>
      <c r="E39" s="112" t="str">
        <f>IF(A39="","",VALUE(ContribLoad!$D35))</f>
        <v/>
      </c>
      <c r="F39" s="113" t="str">
        <f>IF(A39="","",ContribLoad!$E35)</f>
        <v/>
      </c>
    </row>
    <row r="40" spans="1:14" x14ac:dyDescent="0.25">
      <c r="A40" s="143" t="str">
        <f>IF(ContribLoad!$A36&lt;&gt;"",(ContribLoad!$A36&amp;","&amp;ContribLoad!$B36),"")</f>
        <v/>
      </c>
      <c r="B40" s="144"/>
      <c r="C40" s="144" t="str">
        <f>IF(A40="","",ContribLoad!$C36)</f>
        <v/>
      </c>
      <c r="D40" s="144"/>
      <c r="E40" s="112" t="str">
        <f>IF(A40="","",VALUE(ContribLoad!$D36))</f>
        <v/>
      </c>
      <c r="F40" s="113" t="str">
        <f>IF(A40="","",ContribLoad!$E36)</f>
        <v/>
      </c>
    </row>
    <row r="41" spans="1:14" x14ac:dyDescent="0.25">
      <c r="A41" s="143" t="str">
        <f>IF(ContribLoad!$A37&lt;&gt;"",(ContribLoad!$A37&amp;","&amp;ContribLoad!$B37),"")</f>
        <v/>
      </c>
      <c r="B41" s="144"/>
      <c r="C41" s="144" t="str">
        <f>IF(A41="","",ContribLoad!$C37)</f>
        <v/>
      </c>
      <c r="D41" s="144"/>
      <c r="E41" s="112" t="str">
        <f>IF(A41="","",VALUE(ContribLoad!$D37))</f>
        <v/>
      </c>
      <c r="F41" s="113" t="str">
        <f>IF(A41="","",ContribLoad!$E37)</f>
        <v/>
      </c>
    </row>
    <row r="42" spans="1:14" x14ac:dyDescent="0.25">
      <c r="A42" s="143" t="str">
        <f>IF(ContribLoad!$A38&lt;&gt;"",(ContribLoad!$A38&amp;","&amp;ContribLoad!$B38),"")</f>
        <v/>
      </c>
      <c r="B42" s="144"/>
      <c r="C42" s="144" t="str">
        <f>IF(A42="","",ContribLoad!$C38)</f>
        <v/>
      </c>
      <c r="D42" s="144"/>
      <c r="E42" s="112" t="str">
        <f>IF(A42="","",VALUE(ContribLoad!$D38))</f>
        <v/>
      </c>
      <c r="F42" s="113" t="str">
        <f>IF(A42="","",ContribLoad!$E38)</f>
        <v/>
      </c>
    </row>
    <row r="43" spans="1:14" x14ac:dyDescent="0.25">
      <c r="A43" s="143" t="str">
        <f>IF(ContribLoad!$A39&lt;&gt;"",(ContribLoad!$A39&amp;","&amp;ContribLoad!$B39),"")</f>
        <v/>
      </c>
      <c r="B43" s="144"/>
      <c r="C43" s="144" t="str">
        <f>IF(A43="","",ContribLoad!$C39)</f>
        <v/>
      </c>
      <c r="D43" s="144"/>
      <c r="E43" s="112" t="str">
        <f>IF(A43="","",VALUE(ContribLoad!$D39))</f>
        <v/>
      </c>
      <c r="F43" s="113" t="str">
        <f>IF(A43="","",ContribLoad!$E39)</f>
        <v/>
      </c>
    </row>
    <row r="44" spans="1:14" x14ac:dyDescent="0.25">
      <c r="A44" s="143" t="str">
        <f>IF(ContribLoad!$A40&lt;&gt;"",(ContribLoad!$A40&amp;","&amp;ContribLoad!$B40),"")</f>
        <v/>
      </c>
      <c r="B44" s="144"/>
      <c r="C44" s="144" t="str">
        <f>IF(A44="","",ContribLoad!$C40)</f>
        <v/>
      </c>
      <c r="D44" s="144"/>
      <c r="E44" s="112" t="str">
        <f>IF(A44="","",VALUE(ContribLoad!$D40))</f>
        <v/>
      </c>
      <c r="F44" s="113" t="str">
        <f>IF(A44="","",ContribLoad!$E40)</f>
        <v/>
      </c>
    </row>
    <row r="45" spans="1:14" x14ac:dyDescent="0.25">
      <c r="A45" s="143" t="str">
        <f>IF(ContribLoad!$A41&lt;&gt;"",(ContribLoad!$A41&amp;","&amp;ContribLoad!$B41),"")</f>
        <v/>
      </c>
      <c r="B45" s="144"/>
      <c r="C45" s="144" t="str">
        <f>IF(A45="","",ContribLoad!$C41)</f>
        <v/>
      </c>
      <c r="D45" s="144"/>
      <c r="E45" s="112" t="str">
        <f>IF(A45="","",VALUE(ContribLoad!$D41))</f>
        <v/>
      </c>
      <c r="F45" s="113" t="str">
        <f>IF(A45="","",ContribLoad!$E41)</f>
        <v/>
      </c>
    </row>
    <row r="46" spans="1:14" x14ac:dyDescent="0.25">
      <c r="A46" s="143" t="str">
        <f>IF(ContribLoad!$A42&lt;&gt;"",(ContribLoad!$A42&amp;","&amp;ContribLoad!$B42),"")</f>
        <v/>
      </c>
      <c r="B46" s="144"/>
      <c r="C46" s="144" t="str">
        <f>IF(A46="","",ContribLoad!$C42)</f>
        <v/>
      </c>
      <c r="D46" s="144"/>
      <c r="E46" s="112" t="str">
        <f>IF(A46="","",VALUE(ContribLoad!$D42))</f>
        <v/>
      </c>
      <c r="F46" s="113" t="str">
        <f>IF(A46="","",ContribLoad!$E42)</f>
        <v/>
      </c>
    </row>
    <row r="47" spans="1:14" x14ac:dyDescent="0.25">
      <c r="A47" s="143" t="str">
        <f>IF(ContribLoad!$A43&lt;&gt;"",(ContribLoad!$A43&amp;","&amp;ContribLoad!$B43),"")</f>
        <v/>
      </c>
      <c r="B47" s="144"/>
      <c r="C47" s="144" t="str">
        <f>IF(A47="","",ContribLoad!$C43)</f>
        <v/>
      </c>
      <c r="D47" s="144"/>
      <c r="E47" s="112" t="str">
        <f>IF(A47="","",VALUE(ContribLoad!$D43))</f>
        <v/>
      </c>
      <c r="F47" s="113" t="str">
        <f>IF(A47="","",ContribLoad!$E43)</f>
        <v/>
      </c>
    </row>
    <row r="48" spans="1:14" x14ac:dyDescent="0.25">
      <c r="A48" s="143" t="str">
        <f>IF(ContribLoad!$A44&lt;&gt;"",(ContribLoad!$A44&amp;","&amp;ContribLoad!$B44),"")</f>
        <v/>
      </c>
      <c r="B48" s="144"/>
      <c r="C48" s="144" t="str">
        <f>IF(A48="","",ContribLoad!$C44)</f>
        <v/>
      </c>
      <c r="D48" s="144"/>
      <c r="E48" s="112" t="str">
        <f>IF(A48="","",VALUE(ContribLoad!$D44))</f>
        <v/>
      </c>
      <c r="F48" s="113" t="str">
        <f>IF(A48="","",ContribLoad!$E44)</f>
        <v/>
      </c>
    </row>
    <row r="49" spans="1:6" x14ac:dyDescent="0.25">
      <c r="A49" s="143" t="str">
        <f>IF(ContribLoad!$A45&lt;&gt;"",(ContribLoad!$A45&amp;","&amp;ContribLoad!$B45),"")</f>
        <v/>
      </c>
      <c r="B49" s="144"/>
      <c r="C49" s="144" t="str">
        <f>IF(A49="","",ContribLoad!$C45)</f>
        <v/>
      </c>
      <c r="D49" s="144"/>
      <c r="E49" s="112" t="str">
        <f>IF(A49="","",VALUE(ContribLoad!$D45))</f>
        <v/>
      </c>
      <c r="F49" s="113" t="str">
        <f>IF(A49="","",ContribLoad!$E45)</f>
        <v/>
      </c>
    </row>
    <row r="50" spans="1:6" x14ac:dyDescent="0.25">
      <c r="A50" s="143" t="str">
        <f>IF(ContribLoad!$A46&lt;&gt;"",(ContribLoad!$A46&amp;","&amp;ContribLoad!$B46),"")</f>
        <v/>
      </c>
      <c r="B50" s="144"/>
      <c r="C50" s="144" t="str">
        <f>IF(A50="","",ContribLoad!$C46)</f>
        <v/>
      </c>
      <c r="D50" s="144"/>
      <c r="E50" s="112" t="str">
        <f>IF(A50="","",VALUE(ContribLoad!$D46))</f>
        <v/>
      </c>
      <c r="F50" s="113" t="str">
        <f>IF(A50="","",ContribLoad!$E46)</f>
        <v/>
      </c>
    </row>
    <row r="51" spans="1:6" x14ac:dyDescent="0.25">
      <c r="A51" s="143" t="str">
        <f>IF(ContribLoad!$A47&lt;&gt;"",(ContribLoad!$A47&amp;","&amp;ContribLoad!$B47),"")</f>
        <v/>
      </c>
      <c r="B51" s="144"/>
      <c r="C51" s="144" t="str">
        <f>IF(A51="","",ContribLoad!$C47)</f>
        <v/>
      </c>
      <c r="D51" s="144"/>
      <c r="E51" s="112" t="str">
        <f>IF(A51="","",VALUE(ContribLoad!$D47))</f>
        <v/>
      </c>
      <c r="F51" s="113" t="str">
        <f>IF(A51="","",ContribLoad!$E47)</f>
        <v/>
      </c>
    </row>
    <row r="52" spans="1:6" x14ac:dyDescent="0.25">
      <c r="A52" s="143" t="str">
        <f>IF(ContribLoad!$A48&lt;&gt;"",(ContribLoad!$A48&amp;","&amp;ContribLoad!$B48),"")</f>
        <v/>
      </c>
      <c r="B52" s="144"/>
      <c r="C52" s="144" t="str">
        <f>IF(A52="","",ContribLoad!$C48)</f>
        <v/>
      </c>
      <c r="D52" s="144"/>
      <c r="E52" s="112" t="str">
        <f>IF(A52="","",VALUE(ContribLoad!$D48))</f>
        <v/>
      </c>
      <c r="F52" s="113" t="str">
        <f>IF(A52="","",ContribLoad!$E48)</f>
        <v/>
      </c>
    </row>
    <row r="53" spans="1:6" x14ac:dyDescent="0.25">
      <c r="A53" s="143" t="str">
        <f>IF(ContribLoad!$A49&lt;&gt;"",(ContribLoad!$A49&amp;","&amp;ContribLoad!$B49),"")</f>
        <v/>
      </c>
      <c r="B53" s="144"/>
      <c r="C53" s="144" t="str">
        <f>IF(A53="","",ContribLoad!$C49)</f>
        <v/>
      </c>
      <c r="D53" s="144"/>
      <c r="E53" s="112" t="str">
        <f>IF(A53="","",VALUE(ContribLoad!$D49))</f>
        <v/>
      </c>
      <c r="F53" s="113" t="str">
        <f>IF(A53="","",ContribLoad!$E49)</f>
        <v/>
      </c>
    </row>
    <row r="54" spans="1:6" x14ac:dyDescent="0.25">
      <c r="A54" s="143" t="str">
        <f>IF(ContribLoad!$A50&lt;&gt;"",(ContribLoad!$A50&amp;","&amp;ContribLoad!$B50),"")</f>
        <v/>
      </c>
      <c r="B54" s="144"/>
      <c r="C54" s="144" t="str">
        <f>IF(A54="","",ContribLoad!$C50)</f>
        <v/>
      </c>
      <c r="D54" s="144"/>
      <c r="E54" s="112" t="str">
        <f>IF(A54="","",VALUE(ContribLoad!$D50))</f>
        <v/>
      </c>
      <c r="F54" s="113" t="str">
        <f>IF(A54="","",ContribLoad!$E50)</f>
        <v/>
      </c>
    </row>
    <row r="55" spans="1:6" x14ac:dyDescent="0.25">
      <c r="A55" s="143" t="str">
        <f>IF(ContribLoad!$A51&lt;&gt;"",(ContribLoad!$A51&amp;","&amp;ContribLoad!$B51),"")</f>
        <v/>
      </c>
      <c r="B55" s="144"/>
      <c r="C55" s="144" t="str">
        <f>IF(A55="","",ContribLoad!$C51)</f>
        <v/>
      </c>
      <c r="D55" s="144"/>
      <c r="E55" s="112" t="str">
        <f>IF(A55="","",VALUE(ContribLoad!$D51))</f>
        <v/>
      </c>
      <c r="F55" s="113" t="str">
        <f>IF(A55="","",ContribLoad!$E51)</f>
        <v/>
      </c>
    </row>
    <row r="56" spans="1:6" x14ac:dyDescent="0.25">
      <c r="A56" s="143" t="str">
        <f>IF(ContribLoad!$A52&lt;&gt;"",(ContribLoad!$A52&amp;","&amp;ContribLoad!$B52),"")</f>
        <v/>
      </c>
      <c r="B56" s="144"/>
      <c r="C56" s="144" t="str">
        <f>IF(A56="","",ContribLoad!$C52)</f>
        <v/>
      </c>
      <c r="D56" s="144"/>
      <c r="E56" s="112" t="str">
        <f>IF(A56="","",VALUE(ContribLoad!$D52))</f>
        <v/>
      </c>
      <c r="F56" s="113" t="str">
        <f>IF(A56="","",ContribLoad!$E52)</f>
        <v/>
      </c>
    </row>
    <row r="57" spans="1:6" x14ac:dyDescent="0.25">
      <c r="A57" s="143" t="str">
        <f>IF(ContribLoad!$A53&lt;&gt;"",(ContribLoad!$A53&amp;","&amp;ContribLoad!$B53),"")</f>
        <v/>
      </c>
      <c r="B57" s="144"/>
      <c r="C57" s="144" t="str">
        <f>IF(A57="","",ContribLoad!$C53)</f>
        <v/>
      </c>
      <c r="D57" s="144"/>
      <c r="E57" s="112" t="str">
        <f>IF(A57="","",VALUE(ContribLoad!$D53))</f>
        <v/>
      </c>
      <c r="F57" s="113" t="str">
        <f>IF(A57="","",ContribLoad!$E53)</f>
        <v/>
      </c>
    </row>
    <row r="58" spans="1:6" x14ac:dyDescent="0.25">
      <c r="A58" s="143" t="str">
        <f>IF(ContribLoad!$A54&lt;&gt;"",(ContribLoad!$A54&amp;","&amp;ContribLoad!$B54),"")</f>
        <v/>
      </c>
      <c r="B58" s="144"/>
      <c r="C58" s="144" t="str">
        <f>IF(A58="","",ContribLoad!$C54)</f>
        <v/>
      </c>
      <c r="D58" s="144"/>
      <c r="E58" s="112" t="str">
        <f>IF(A58="","",VALUE(ContribLoad!$D54))</f>
        <v/>
      </c>
      <c r="F58" s="113" t="str">
        <f>IF(A58="","",ContribLoad!$E54)</f>
        <v/>
      </c>
    </row>
    <row r="59" spans="1:6" x14ac:dyDescent="0.25">
      <c r="A59" s="143" t="str">
        <f>IF(ContribLoad!$A55&lt;&gt;"",(ContribLoad!$A55&amp;","&amp;ContribLoad!$B55),"")</f>
        <v/>
      </c>
      <c r="B59" s="144"/>
      <c r="C59" s="144" t="str">
        <f>IF(A59="","",ContribLoad!$C55)</f>
        <v/>
      </c>
      <c r="D59" s="144"/>
      <c r="E59" s="112" t="str">
        <f>IF(A59="","",VALUE(ContribLoad!$D55))</f>
        <v/>
      </c>
      <c r="F59" s="113" t="str">
        <f>IF(A59="","",ContribLoad!$E55)</f>
        <v/>
      </c>
    </row>
    <row r="60" spans="1:6" x14ac:dyDescent="0.25">
      <c r="A60" s="143" t="str">
        <f>IF(ContribLoad!$A56&lt;&gt;"",(ContribLoad!$A56&amp;","&amp;ContribLoad!$B56),"")</f>
        <v/>
      </c>
      <c r="B60" s="144"/>
      <c r="C60" s="144" t="str">
        <f>IF(A60="","",ContribLoad!$C56)</f>
        <v/>
      </c>
      <c r="D60" s="144"/>
      <c r="E60" s="112" t="str">
        <f>IF(A60="","",VALUE(ContribLoad!$D56))</f>
        <v/>
      </c>
      <c r="F60" s="113" t="str">
        <f>IF(A60="","",ContribLoad!$E56)</f>
        <v/>
      </c>
    </row>
    <row r="61" spans="1:6" x14ac:dyDescent="0.25">
      <c r="A61" s="143" t="str">
        <f>IF(ContribLoad!$A57&lt;&gt;"",(ContribLoad!$A57&amp;","&amp;ContribLoad!$B57),"")</f>
        <v/>
      </c>
      <c r="B61" s="144"/>
      <c r="C61" s="144" t="str">
        <f>IF(A61="","",ContribLoad!$C57)</f>
        <v/>
      </c>
      <c r="D61" s="144"/>
      <c r="E61" s="112" t="str">
        <f>IF(A61="","",VALUE(ContribLoad!$D57))</f>
        <v/>
      </c>
      <c r="F61" s="113" t="str">
        <f>IF(A61="","",ContribLoad!$E57)</f>
        <v/>
      </c>
    </row>
    <row r="62" spans="1:6" x14ac:dyDescent="0.25">
      <c r="A62" s="143" t="str">
        <f>IF(ContribLoad!$A58&lt;&gt;"",(ContribLoad!$A58&amp;","&amp;ContribLoad!$B58),"")</f>
        <v/>
      </c>
      <c r="B62" s="144"/>
      <c r="C62" s="144" t="str">
        <f>IF(A62="","",ContribLoad!$C58)</f>
        <v/>
      </c>
      <c r="D62" s="144"/>
      <c r="E62" s="112" t="str">
        <f>IF(A62="","",VALUE(ContribLoad!$D58))</f>
        <v/>
      </c>
      <c r="F62" s="113" t="str">
        <f>IF(A62="","",ContribLoad!$E58)</f>
        <v/>
      </c>
    </row>
    <row r="63" spans="1:6" x14ac:dyDescent="0.25">
      <c r="A63" s="143" t="str">
        <f>IF(ContribLoad!$A59&lt;&gt;"",(ContribLoad!$A59&amp;","&amp;ContribLoad!$B59),"")</f>
        <v/>
      </c>
      <c r="B63" s="144"/>
      <c r="C63" s="144" t="str">
        <f>IF(A63="","",ContribLoad!$C59)</f>
        <v/>
      </c>
      <c r="D63" s="144"/>
      <c r="E63" s="112" t="str">
        <f>IF(A63="","",VALUE(ContribLoad!$D59))</f>
        <v/>
      </c>
      <c r="F63" s="113" t="str">
        <f>IF(A63="","",ContribLoad!$E59)</f>
        <v/>
      </c>
    </row>
    <row r="64" spans="1:6" x14ac:dyDescent="0.25">
      <c r="A64" s="143" t="str">
        <f>IF(ContribLoad!$A60&lt;&gt;"",(ContribLoad!$A60&amp;","&amp;ContribLoad!$B60),"")</f>
        <v/>
      </c>
      <c r="B64" s="144"/>
      <c r="C64" s="144" t="str">
        <f>IF(A64="","",ContribLoad!$C60)</f>
        <v/>
      </c>
      <c r="D64" s="144"/>
      <c r="E64" s="112" t="str">
        <f>IF(A64="","",VALUE(ContribLoad!$D60))</f>
        <v/>
      </c>
      <c r="F64" s="113" t="str">
        <f>IF(A64="","",ContribLoad!$E60)</f>
        <v/>
      </c>
    </row>
    <row r="65" spans="1:6" x14ac:dyDescent="0.25">
      <c r="A65" s="143" t="str">
        <f>IF(ContribLoad!$A61&lt;&gt;"",(ContribLoad!$A61&amp;","&amp;ContribLoad!$B61),"")</f>
        <v/>
      </c>
      <c r="B65" s="144"/>
      <c r="C65" s="144" t="str">
        <f>IF(A65="","",ContribLoad!$C61)</f>
        <v/>
      </c>
      <c r="D65" s="144"/>
      <c r="E65" s="112" t="str">
        <f>IF(A65="","",VALUE(ContribLoad!$D61))</f>
        <v/>
      </c>
      <c r="F65" s="113" t="str">
        <f>IF(A65="","",ContribLoad!$E61)</f>
        <v/>
      </c>
    </row>
    <row r="66" spans="1:6" x14ac:dyDescent="0.25">
      <c r="A66" s="143" t="str">
        <f>IF(ContribLoad!$A62&lt;&gt;"",(ContribLoad!$A62&amp;","&amp;ContribLoad!$B62),"")</f>
        <v/>
      </c>
      <c r="B66" s="144"/>
      <c r="C66" s="144" t="str">
        <f>IF(A66="","",ContribLoad!$C62)</f>
        <v/>
      </c>
      <c r="D66" s="144"/>
      <c r="E66" s="112" t="str">
        <f>IF(A66="","",VALUE(ContribLoad!$D62))</f>
        <v/>
      </c>
      <c r="F66" s="113" t="str">
        <f>IF(A66="","",ContribLoad!$E62)</f>
        <v/>
      </c>
    </row>
    <row r="67" spans="1:6" x14ac:dyDescent="0.25">
      <c r="A67" s="143" t="str">
        <f>IF(ContribLoad!$A63&lt;&gt;"",(ContribLoad!$A63&amp;","&amp;ContribLoad!$B63),"")</f>
        <v/>
      </c>
      <c r="B67" s="144"/>
      <c r="C67" s="144" t="str">
        <f>IF(A67="","",ContribLoad!$C63)</f>
        <v/>
      </c>
      <c r="D67" s="144"/>
      <c r="E67" s="112" t="str">
        <f>IF(A67="","",VALUE(ContribLoad!$D63))</f>
        <v/>
      </c>
      <c r="F67" s="113" t="str">
        <f>IF(A67="","",ContribLoad!$E63)</f>
        <v/>
      </c>
    </row>
    <row r="68" spans="1:6" x14ac:dyDescent="0.25">
      <c r="A68" s="143" t="str">
        <f>IF(ContribLoad!$A64&lt;&gt;"",(ContribLoad!$A64&amp;","&amp;ContribLoad!$B64),"")</f>
        <v/>
      </c>
      <c r="B68" s="144"/>
      <c r="C68" s="144" t="str">
        <f>IF(A68="","",ContribLoad!$C64)</f>
        <v/>
      </c>
      <c r="D68" s="144"/>
      <c r="E68" s="112" t="str">
        <f>IF(A68="","",VALUE(ContribLoad!$D64))</f>
        <v/>
      </c>
      <c r="F68" s="113" t="str">
        <f>IF(A68="","",ContribLoad!$E64)</f>
        <v/>
      </c>
    </row>
    <row r="69" spans="1:6" ht="16.5" thickBot="1" x14ac:dyDescent="0.3">
      <c r="A69" s="145" t="str">
        <f>IF(ContribLoad!$A65&lt;&gt;"",(ContribLoad!$A65&amp;","&amp;ContribLoad!$B65),"")</f>
        <v/>
      </c>
      <c r="B69" s="146"/>
      <c r="C69" s="146" t="str">
        <f>IF(A69="","",ContribLoad!$C65)</f>
        <v/>
      </c>
      <c r="D69" s="146"/>
      <c r="E69" s="114" t="str">
        <f>IF(A69="","",VALUE(ContribLoad!$D65))</f>
        <v/>
      </c>
      <c r="F69" s="115" t="str">
        <f>IF(A69="","",ContribLoad!$E65)</f>
        <v/>
      </c>
    </row>
    <row r="70" spans="1:6" s="17" customFormat="1" x14ac:dyDescent="0.25">
      <c r="A70" s="147" t="s">
        <v>7</v>
      </c>
      <c r="B70" s="147"/>
      <c r="C70" s="153" t="s">
        <v>3</v>
      </c>
      <c r="D70" s="154"/>
      <c r="E70" s="119" t="s">
        <v>4</v>
      </c>
      <c r="F70" s="72"/>
    </row>
    <row r="71" spans="1:6" x14ac:dyDescent="0.25">
      <c r="A71" s="142"/>
      <c r="B71" s="142"/>
      <c r="C71" s="68" t="str">
        <f>IF(SummLoad!$A20&lt;&gt;"",SummLoad!$A20,"")</f>
        <v/>
      </c>
      <c r="D71" s="69" t="str">
        <f>IF(C71&lt;&gt;"",":  ","")</f>
        <v/>
      </c>
      <c r="E71" s="20" t="str">
        <f>IF($C71&lt;&gt;"",SUMIFS($E$6:$E$69,$A$6:$A$69,"&lt;&gt;LOOSE OFFERING,",$C$6:$C$69,$C71),"")</f>
        <v/>
      </c>
      <c r="F71" s="71"/>
    </row>
    <row r="72" spans="1:6" x14ac:dyDescent="0.25">
      <c r="A72" s="142"/>
      <c r="B72" s="142"/>
      <c r="C72" s="68" t="str">
        <f>IF(SummLoad!$A21&lt;&gt;"",SummLoad!$A21,"")</f>
        <v/>
      </c>
      <c r="D72" s="69" t="str">
        <f t="shared" ref="D72:D93" si="0">IF(C72&lt;&gt;"",":  ","")</f>
        <v/>
      </c>
      <c r="E72" s="20" t="str">
        <f t="shared" ref="E72:E87" si="1">IF($C72&lt;&gt;"",SUMIFS($E$6:$E$69,$A$6:$A$69,"&lt;&gt;LOOSE OFFERING,",$C$6:$C$69,$C72),"")</f>
        <v/>
      </c>
      <c r="F72" s="71"/>
    </row>
    <row r="73" spans="1:6" x14ac:dyDescent="0.25">
      <c r="A73" s="142"/>
      <c r="B73" s="142"/>
      <c r="C73" s="68" t="str">
        <f>IF(SummLoad!$A22&lt;&gt;"",SummLoad!$A22,"")</f>
        <v/>
      </c>
      <c r="D73" s="69" t="str">
        <f t="shared" si="0"/>
        <v/>
      </c>
      <c r="E73" s="20" t="str">
        <f t="shared" si="1"/>
        <v/>
      </c>
      <c r="F73" s="71"/>
    </row>
    <row r="74" spans="1:6" x14ac:dyDescent="0.25">
      <c r="A74" s="142"/>
      <c r="B74" s="142"/>
      <c r="C74" s="68" t="str">
        <f>IF(SummLoad!$A23&lt;&gt;"",SummLoad!$A23,"")</f>
        <v/>
      </c>
      <c r="D74" s="69" t="str">
        <f t="shared" si="0"/>
        <v/>
      </c>
      <c r="E74" s="20" t="str">
        <f t="shared" si="1"/>
        <v/>
      </c>
      <c r="F74" s="71"/>
    </row>
    <row r="75" spans="1:6" x14ac:dyDescent="0.25">
      <c r="A75" s="142"/>
      <c r="B75" s="142"/>
      <c r="C75" s="68" t="str">
        <f>IF(SummLoad!$A24&lt;&gt;"",SummLoad!$A24,"")</f>
        <v/>
      </c>
      <c r="D75" s="69" t="str">
        <f t="shared" si="0"/>
        <v/>
      </c>
      <c r="E75" s="20" t="str">
        <f t="shared" si="1"/>
        <v/>
      </c>
      <c r="F75" s="71"/>
    </row>
    <row r="76" spans="1:6" x14ac:dyDescent="0.25">
      <c r="A76" s="142"/>
      <c r="B76" s="142"/>
      <c r="C76" s="68" t="str">
        <f>IF(SummLoad!$A25&lt;&gt;"",SummLoad!$A25,"")</f>
        <v/>
      </c>
      <c r="D76" s="69" t="str">
        <f t="shared" si="0"/>
        <v/>
      </c>
      <c r="E76" s="20" t="str">
        <f t="shared" si="1"/>
        <v/>
      </c>
      <c r="F76" s="71"/>
    </row>
    <row r="77" spans="1:6" x14ac:dyDescent="0.25">
      <c r="A77" s="142"/>
      <c r="B77" s="142"/>
      <c r="C77" s="68" t="str">
        <f>IF(SummLoad!$A26&lt;&gt;"",SummLoad!$A26,"")</f>
        <v/>
      </c>
      <c r="D77" s="69" t="str">
        <f t="shared" si="0"/>
        <v/>
      </c>
      <c r="E77" s="20" t="str">
        <f t="shared" si="1"/>
        <v/>
      </c>
      <c r="F77" s="71"/>
    </row>
    <row r="78" spans="1:6" x14ac:dyDescent="0.25">
      <c r="A78" s="142"/>
      <c r="B78" s="142"/>
      <c r="C78" s="68" t="str">
        <f>IF(SummLoad!$A27&lt;&gt;"",SummLoad!$A27,"")</f>
        <v/>
      </c>
      <c r="D78" s="69" t="str">
        <f t="shared" si="0"/>
        <v/>
      </c>
      <c r="E78" s="20" t="str">
        <f t="shared" si="1"/>
        <v/>
      </c>
      <c r="F78" s="71"/>
    </row>
    <row r="79" spans="1:6" x14ac:dyDescent="0.25">
      <c r="A79" s="142"/>
      <c r="B79" s="142"/>
      <c r="C79" s="68" t="str">
        <f>IF(SummLoad!$A28&lt;&gt;"",SummLoad!$A28,"")</f>
        <v/>
      </c>
      <c r="D79" s="69" t="str">
        <f t="shared" si="0"/>
        <v/>
      </c>
      <c r="E79" s="20" t="str">
        <f t="shared" si="1"/>
        <v/>
      </c>
      <c r="F79" s="71"/>
    </row>
    <row r="80" spans="1:6" x14ac:dyDescent="0.25">
      <c r="A80" s="142"/>
      <c r="B80" s="142"/>
      <c r="C80" s="68" t="str">
        <f>IF(SummLoad!$A29&lt;&gt;"",SummLoad!$A29,"")</f>
        <v/>
      </c>
      <c r="D80" s="69" t="str">
        <f t="shared" si="0"/>
        <v/>
      </c>
      <c r="E80" s="20" t="str">
        <f t="shared" si="1"/>
        <v/>
      </c>
      <c r="F80" s="71"/>
    </row>
    <row r="81" spans="1:6" x14ac:dyDescent="0.25">
      <c r="A81" s="142"/>
      <c r="B81" s="142"/>
      <c r="C81" s="68" t="str">
        <f>IF(SummLoad!$A30&lt;&gt;"",SummLoad!$A30,"")</f>
        <v/>
      </c>
      <c r="D81" s="69" t="str">
        <f t="shared" si="0"/>
        <v/>
      </c>
      <c r="E81" s="20" t="str">
        <f t="shared" si="1"/>
        <v/>
      </c>
      <c r="F81" s="71"/>
    </row>
    <row r="82" spans="1:6" x14ac:dyDescent="0.25">
      <c r="A82" s="142"/>
      <c r="B82" s="142"/>
      <c r="C82" s="68" t="str">
        <f>IF(SummLoad!$A31&lt;&gt;"",SummLoad!$A31,"")</f>
        <v/>
      </c>
      <c r="D82" s="69" t="str">
        <f t="shared" si="0"/>
        <v/>
      </c>
      <c r="E82" s="20" t="str">
        <f t="shared" si="1"/>
        <v/>
      </c>
      <c r="F82" s="71"/>
    </row>
    <row r="83" spans="1:6" x14ac:dyDescent="0.25">
      <c r="A83" s="136"/>
      <c r="B83" s="137"/>
      <c r="C83" s="68" t="str">
        <f>IF(SummLoad!$A32&lt;&gt;"",SummLoad!$A32,"")</f>
        <v/>
      </c>
      <c r="D83" s="69" t="str">
        <f t="shared" si="0"/>
        <v/>
      </c>
      <c r="E83" s="20" t="str">
        <f t="shared" si="1"/>
        <v/>
      </c>
      <c r="F83" s="71"/>
    </row>
    <row r="84" spans="1:6" x14ac:dyDescent="0.25">
      <c r="A84" s="136"/>
      <c r="B84" s="137"/>
      <c r="C84" s="68" t="str">
        <f>IF(SummLoad!$A33&lt;&gt;"",SummLoad!$A33,"")</f>
        <v/>
      </c>
      <c r="D84" s="69" t="str">
        <f t="shared" si="0"/>
        <v/>
      </c>
      <c r="E84" s="20" t="str">
        <f t="shared" si="1"/>
        <v/>
      </c>
      <c r="F84" s="71"/>
    </row>
    <row r="85" spans="1:6" x14ac:dyDescent="0.25">
      <c r="A85" s="136"/>
      <c r="B85" s="137"/>
      <c r="C85" s="68" t="str">
        <f>IF(SummLoad!$A34&lt;&gt;"",SummLoad!$A34,"")</f>
        <v/>
      </c>
      <c r="D85" s="69" t="str">
        <f t="shared" si="0"/>
        <v/>
      </c>
      <c r="E85" s="20" t="str">
        <f t="shared" si="1"/>
        <v/>
      </c>
      <c r="F85" s="71"/>
    </row>
    <row r="86" spans="1:6" x14ac:dyDescent="0.25">
      <c r="A86" s="136"/>
      <c r="B86" s="137"/>
      <c r="C86" s="68" t="str">
        <f>IF(SummLoad!$A35&lt;&gt;"",SummLoad!$A35,"")</f>
        <v/>
      </c>
      <c r="D86" s="69" t="str">
        <f t="shared" si="0"/>
        <v/>
      </c>
      <c r="E86" s="20" t="str">
        <f t="shared" si="1"/>
        <v/>
      </c>
      <c r="F86" s="71"/>
    </row>
    <row r="87" spans="1:6" ht="16.5" thickBot="1" x14ac:dyDescent="0.3">
      <c r="A87" s="128"/>
      <c r="B87" s="129"/>
      <c r="C87" s="68" t="str">
        <f>IF(SummLoad!$A36&lt;&gt;"",SummLoad!$A36,"")</f>
        <v/>
      </c>
      <c r="D87" s="69" t="str">
        <f t="shared" si="0"/>
        <v/>
      </c>
      <c r="E87" s="20" t="str">
        <f t="shared" si="1"/>
        <v/>
      </c>
      <c r="F87" s="71"/>
    </row>
    <row r="88" spans="1:6" ht="16.5" thickBot="1" x14ac:dyDescent="0.3">
      <c r="A88" s="125" t="s">
        <v>8</v>
      </c>
      <c r="B88" s="126"/>
      <c r="C88" s="126"/>
      <c r="D88" s="126"/>
      <c r="E88" s="127"/>
      <c r="F88" s="72"/>
    </row>
    <row r="89" spans="1:6" x14ac:dyDescent="0.25">
      <c r="A89" s="138"/>
      <c r="B89" s="139"/>
      <c r="C89" s="70" t="s">
        <v>46</v>
      </c>
      <c r="D89" s="69" t="str">
        <f t="shared" si="0"/>
        <v xml:space="preserve">:  </v>
      </c>
      <c r="E89" s="25">
        <f>SUMIFS(E6:E69,A6:A69,"=LOOSE OFFERING,",C6:C69,"=TITHES &amp; OFFERINGS")</f>
        <v>0</v>
      </c>
      <c r="F89" s="71"/>
    </row>
    <row r="90" spans="1:6" x14ac:dyDescent="0.25">
      <c r="A90" s="136"/>
      <c r="B90" s="137"/>
      <c r="C90" s="26" t="s">
        <v>13</v>
      </c>
      <c r="D90" s="69" t="str">
        <f t="shared" si="0"/>
        <v xml:space="preserve">:  </v>
      </c>
      <c r="E90" s="20">
        <f>SUMIFS(E6:E69,A6:A69,"=LOOSE OFFERING,",C6:C69,"=SUNDAY SCHOOL")</f>
        <v>0</v>
      </c>
      <c r="F90" s="71"/>
    </row>
    <row r="91" spans="1:6" x14ac:dyDescent="0.25">
      <c r="A91" s="136"/>
      <c r="B91" s="137"/>
      <c r="C91" s="107" t="s">
        <v>59</v>
      </c>
      <c r="D91" s="69" t="str">
        <f t="shared" si="0"/>
        <v xml:space="preserve">:  </v>
      </c>
      <c r="E91" s="20">
        <f>SUMIFS(E6:E69,A6:A69,"=LOOSE OFFERING,",C6:C69,"=FAITH PROMISE 10%")</f>
        <v>0</v>
      </c>
      <c r="F91" s="71"/>
    </row>
    <row r="92" spans="1:6" x14ac:dyDescent="0.25">
      <c r="A92" s="136"/>
      <c r="B92" s="137"/>
      <c r="C92" s="27"/>
      <c r="D92" s="69" t="str">
        <f t="shared" si="0"/>
        <v/>
      </c>
      <c r="E92" s="20" t="str">
        <f>IF(C92&lt;&gt;"",SUMIFS($E$6:$E$69,$A$6:$A$69,"=LOOSE OFFERING,",$C$6:$C$69,"=C92"),"")</f>
        <v/>
      </c>
      <c r="F92" s="71"/>
    </row>
    <row r="93" spans="1:6" ht="16.5" thickBot="1" x14ac:dyDescent="0.3">
      <c r="A93" s="128"/>
      <c r="B93" s="129"/>
      <c r="C93" s="28"/>
      <c r="D93" s="69" t="str">
        <f t="shared" si="0"/>
        <v/>
      </c>
      <c r="E93" s="20" t="str">
        <f>IF(C93&lt;&gt;"",SUMIFS($E$6:$E$69,$A$6:$A$69,"=LOOSE OFFERING,",$C$6:$C$69,"=C93"),"")</f>
        <v/>
      </c>
      <c r="F93" s="71"/>
    </row>
    <row r="94" spans="1:6" x14ac:dyDescent="0.25">
      <c r="A94" s="140" t="s">
        <v>9</v>
      </c>
      <c r="B94" s="141"/>
      <c r="C94" s="134">
        <f>SUMIF(F6:F69,"=CASH",E6:E69)</f>
        <v>0</v>
      </c>
      <c r="D94" s="135"/>
      <c r="E94" s="22"/>
      <c r="F94" s="73"/>
    </row>
    <row r="95" spans="1:6" ht="16.5" thickBot="1" x14ac:dyDescent="0.3">
      <c r="A95" s="121" t="s">
        <v>10</v>
      </c>
      <c r="B95" s="122"/>
      <c r="C95" s="130">
        <f>SUMIF(F6:F69,"&lt;&gt;CASH",E6:E69)</f>
        <v>0</v>
      </c>
      <c r="D95" s="131"/>
      <c r="E95" s="12"/>
      <c r="F95" s="74"/>
    </row>
    <row r="96" spans="1:6" ht="16.5" thickBot="1" x14ac:dyDescent="0.3">
      <c r="A96" s="123" t="s">
        <v>11</v>
      </c>
      <c r="B96" s="124"/>
      <c r="C96" s="132">
        <f>SUM(C94:C95)</f>
        <v>0</v>
      </c>
      <c r="D96" s="133"/>
      <c r="E96" s="21" t="s">
        <v>12</v>
      </c>
      <c r="F96" s="75">
        <f>SummLoad!A19</f>
        <v>0</v>
      </c>
    </row>
    <row r="97" spans="1:7" x14ac:dyDescent="0.25">
      <c r="A97" s="18"/>
      <c r="B97" s="18"/>
      <c r="C97" s="18"/>
      <c r="D97" s="18"/>
      <c r="E97" s="18"/>
      <c r="F97" s="8"/>
    </row>
    <row r="98" spans="1:7" x14ac:dyDescent="0.25">
      <c r="A98" s="19"/>
      <c r="B98" s="120" t="s">
        <v>61</v>
      </c>
      <c r="C98" s="157">
        <f>SummLoad!A2</f>
        <v>0</v>
      </c>
      <c r="D98" s="157"/>
      <c r="E98" s="157"/>
      <c r="F98" s="157"/>
      <c r="G98" s="60"/>
    </row>
    <row r="99" spans="1:7" x14ac:dyDescent="0.25">
      <c r="A99" s="19"/>
      <c r="B99" s="19"/>
      <c r="C99" s="19"/>
      <c r="D99" s="19"/>
      <c r="E99" s="19"/>
      <c r="F99" s="73"/>
    </row>
    <row r="100" spans="1:7" x14ac:dyDescent="0.25">
      <c r="A100" s="19"/>
      <c r="B100" s="120" t="s">
        <v>61</v>
      </c>
      <c r="C100" s="157">
        <f>SummLoad!A3</f>
        <v>0</v>
      </c>
      <c r="D100" s="157"/>
      <c r="E100" s="157"/>
      <c r="F100" s="157"/>
    </row>
    <row r="101" spans="1:7" x14ac:dyDescent="0.25">
      <c r="A101" s="19"/>
      <c r="B101" s="19"/>
      <c r="C101" s="19"/>
      <c r="D101" s="19"/>
      <c r="E101" s="19"/>
      <c r="F101" s="73"/>
    </row>
    <row r="102" spans="1:7" x14ac:dyDescent="0.25">
      <c r="A102" s="19"/>
      <c r="B102" s="19"/>
      <c r="C102" s="19"/>
      <c r="D102" s="19"/>
      <c r="E102" s="19"/>
      <c r="F102" s="73"/>
    </row>
    <row r="103" spans="1:7" x14ac:dyDescent="0.25">
      <c r="A103" s="19"/>
      <c r="B103" s="19"/>
      <c r="C103" s="19"/>
      <c r="D103" s="19"/>
      <c r="E103" s="19"/>
      <c r="F103" s="73"/>
    </row>
  </sheetData>
  <mergeCells count="165">
    <mergeCell ref="C98:F98"/>
    <mergeCell ref="C100:F100"/>
    <mergeCell ref="H7:O19"/>
    <mergeCell ref="C65:D65"/>
    <mergeCell ref="C66:D66"/>
    <mergeCell ref="C67:D67"/>
    <mergeCell ref="C68:D68"/>
    <mergeCell ref="C69:D69"/>
    <mergeCell ref="C60:D60"/>
    <mergeCell ref="C61:D61"/>
    <mergeCell ref="C62:D62"/>
    <mergeCell ref="C63:D63"/>
    <mergeCell ref="C64:D64"/>
    <mergeCell ref="C55:D55"/>
    <mergeCell ref="C56:D56"/>
    <mergeCell ref="C57:D57"/>
    <mergeCell ref="C58:D58"/>
    <mergeCell ref="C59:D59"/>
    <mergeCell ref="C50:D50"/>
    <mergeCell ref="C51:D51"/>
    <mergeCell ref="C52:D52"/>
    <mergeCell ref="C53:D53"/>
    <mergeCell ref="C54:D54"/>
    <mergeCell ref="C45:D45"/>
    <mergeCell ref="C46:D46"/>
    <mergeCell ref="C47:D47"/>
    <mergeCell ref="C48:D48"/>
    <mergeCell ref="C49:D49"/>
    <mergeCell ref="C27:D27"/>
    <mergeCell ref="C28:D28"/>
    <mergeCell ref="C29:D29"/>
    <mergeCell ref="C40:D40"/>
    <mergeCell ref="C41:D41"/>
    <mergeCell ref="C42:D42"/>
    <mergeCell ref="C43:D43"/>
    <mergeCell ref="C44:D44"/>
    <mergeCell ref="C35:D35"/>
    <mergeCell ref="C36:D36"/>
    <mergeCell ref="C37:D37"/>
    <mergeCell ref="C38:D38"/>
    <mergeCell ref="C39:D39"/>
    <mergeCell ref="C24:D24"/>
    <mergeCell ref="C70:D70"/>
    <mergeCell ref="C5:D5"/>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30:D30"/>
    <mergeCell ref="C31:D31"/>
    <mergeCell ref="C32:D32"/>
    <mergeCell ref="C33:D33"/>
    <mergeCell ref="C34:D34"/>
    <mergeCell ref="C25:D25"/>
    <mergeCell ref="C26:D26"/>
    <mergeCell ref="A1:F1"/>
    <mergeCell ref="A5:B5"/>
    <mergeCell ref="A6:B6"/>
    <mergeCell ref="A7:B7"/>
    <mergeCell ref="A8:B8"/>
    <mergeCell ref="A23:B23"/>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C20:D20"/>
    <mergeCell ref="C21:D21"/>
    <mergeCell ref="C22:D22"/>
    <mergeCell ref="C23:D23"/>
    <mergeCell ref="A35:B35"/>
    <mergeCell ref="A24:B24"/>
    <mergeCell ref="A25:B25"/>
    <mergeCell ref="A26:B26"/>
    <mergeCell ref="A27:B27"/>
    <mergeCell ref="A28:B28"/>
    <mergeCell ref="A29:B29"/>
    <mergeCell ref="A30:B30"/>
    <mergeCell ref="A31:B31"/>
    <mergeCell ref="A32:B32"/>
    <mergeCell ref="A33:B33"/>
    <mergeCell ref="A34:B34"/>
    <mergeCell ref="A47:B47"/>
    <mergeCell ref="A36:B36"/>
    <mergeCell ref="A37:B37"/>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71:B71"/>
    <mergeCell ref="A60:B60"/>
    <mergeCell ref="A61:B61"/>
    <mergeCell ref="A62:B62"/>
    <mergeCell ref="A63:B63"/>
    <mergeCell ref="A64:B64"/>
    <mergeCell ref="A65:B65"/>
    <mergeCell ref="A66:B66"/>
    <mergeCell ref="A67:B67"/>
    <mergeCell ref="A68:B68"/>
    <mergeCell ref="A69:B69"/>
    <mergeCell ref="A70:B70"/>
    <mergeCell ref="A83:B83"/>
    <mergeCell ref="A72:B72"/>
    <mergeCell ref="A73:B73"/>
    <mergeCell ref="A74:B74"/>
    <mergeCell ref="A75:B75"/>
    <mergeCell ref="A76:B76"/>
    <mergeCell ref="A77:B77"/>
    <mergeCell ref="A78:B78"/>
    <mergeCell ref="A79:B79"/>
    <mergeCell ref="A80:B80"/>
    <mergeCell ref="A81:B81"/>
    <mergeCell ref="A82:B82"/>
    <mergeCell ref="A95:B95"/>
    <mergeCell ref="A96:B96"/>
    <mergeCell ref="A88:E88"/>
    <mergeCell ref="A93:B93"/>
    <mergeCell ref="C95:D95"/>
    <mergeCell ref="C96:D96"/>
    <mergeCell ref="C94:D94"/>
    <mergeCell ref="A84:B84"/>
    <mergeCell ref="A89:B89"/>
    <mergeCell ref="A90:B90"/>
    <mergeCell ref="A91:B91"/>
    <mergeCell ref="A92:B92"/>
    <mergeCell ref="A85:B85"/>
    <mergeCell ref="A86:B86"/>
    <mergeCell ref="A87:B87"/>
    <mergeCell ref="A94:B94"/>
  </mergeCells>
  <pageMargins left="0.7" right="0.7" top="0.75" bottom="0.75" header="0.3" footer="0.3"/>
  <pageSetup scale="88"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adData">
                <anchor moveWithCells="1" sizeWithCells="1">
                  <from>
                    <xdr:col>7</xdr:col>
                    <xdr:colOff>9525</xdr:colOff>
                    <xdr:row>4</xdr:row>
                    <xdr:rowOff>9525</xdr:rowOff>
                  </from>
                  <to>
                    <xdr:col>10</xdr:col>
                    <xdr:colOff>9525</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EF21B-DA8F-4DD4-924E-79BE0CDA1FB4}">
  <sheetPr codeName="Sheet5"/>
  <dimension ref="A1:N44"/>
  <sheetViews>
    <sheetView view="pageBreakPreview" zoomScale="81" zoomScaleNormal="100" zoomScaleSheetLayoutView="81" workbookViewId="0">
      <selection activeCell="O12" sqref="O12"/>
    </sheetView>
  </sheetViews>
  <sheetFormatPr defaultRowHeight="15" x14ac:dyDescent="0.25"/>
  <cols>
    <col min="1" max="1" width="2.7109375" style="47" customWidth="1"/>
    <col min="2" max="3" width="12.7109375" style="47" customWidth="1"/>
    <col min="4" max="4" width="10.7109375" style="47" customWidth="1"/>
    <col min="5" max="5" width="11.7109375" style="47" bestFit="1" customWidth="1"/>
    <col min="6" max="6" width="11.5703125" style="47" bestFit="1" customWidth="1"/>
    <col min="7" max="7" width="12.28515625" style="47" bestFit="1" customWidth="1"/>
    <col min="8" max="8" width="10.42578125" style="47" customWidth="1"/>
    <col min="9" max="11" width="10.7109375" style="47" customWidth="1"/>
    <col min="12" max="16384" width="9.140625" style="47"/>
  </cols>
  <sheetData>
    <row r="1" spans="2:14" ht="15.75" thickBot="1" x14ac:dyDescent="0.3"/>
    <row r="2" spans="2:14" ht="18" customHeight="1" thickBot="1" x14ac:dyDescent="0.3">
      <c r="B2" s="83" t="s">
        <v>57</v>
      </c>
      <c r="C2" s="82">
        <f ca="1">'Contributions (Print)'!$B$3</f>
        <v>43090</v>
      </c>
      <c r="D2" s="126" t="s">
        <v>14</v>
      </c>
      <c r="E2" s="161"/>
      <c r="F2" s="161"/>
      <c r="G2" s="161"/>
      <c r="H2" s="161"/>
      <c r="I2" s="161"/>
      <c r="J2" s="161"/>
      <c r="K2" s="162"/>
      <c r="L2" s="29"/>
      <c r="M2" s="48"/>
      <c r="N2" s="42"/>
    </row>
    <row r="3" spans="2:14" ht="18" customHeight="1" thickBot="1" x14ac:dyDescent="0.3">
      <c r="B3" s="163" t="s">
        <v>15</v>
      </c>
      <c r="C3" s="164"/>
      <c r="D3" s="84" t="s">
        <v>16</v>
      </c>
      <c r="E3" s="84" t="s">
        <v>17</v>
      </c>
      <c r="F3" s="84" t="s">
        <v>18</v>
      </c>
      <c r="G3" s="85" t="s">
        <v>19</v>
      </c>
      <c r="H3" s="85" t="s">
        <v>20</v>
      </c>
      <c r="I3" s="85" t="s">
        <v>21</v>
      </c>
      <c r="J3" s="85" t="s">
        <v>22</v>
      </c>
      <c r="K3" s="86" t="s">
        <v>23</v>
      </c>
      <c r="M3" s="42"/>
      <c r="N3" s="42"/>
    </row>
    <row r="4" spans="2:14" ht="18" customHeight="1" x14ac:dyDescent="0.25">
      <c r="B4" s="159" t="str">
        <f>IF('Contributions (Print)'!C71&lt;&gt;"",'Contributions (Print)'!C71,"")</f>
        <v/>
      </c>
      <c r="C4" s="160"/>
      <c r="D4" s="87" t="str">
        <f>'Contributions (Print)'!E71</f>
        <v/>
      </c>
      <c r="E4" s="88">
        <f>'Contributions (Print)'!E89</f>
        <v>0</v>
      </c>
      <c r="F4" s="89"/>
      <c r="G4" s="90"/>
      <c r="H4" s="91">
        <f>SUM(D4:G4)</f>
        <v>0</v>
      </c>
      <c r="I4" s="91"/>
      <c r="J4" s="91"/>
      <c r="K4" s="92">
        <f>SUM(H4:J4)</f>
        <v>0</v>
      </c>
    </row>
    <row r="5" spans="2:14" ht="18" customHeight="1" x14ac:dyDescent="0.25">
      <c r="B5" s="159" t="str">
        <f>IF('Contributions (Print)'!C72&lt;&gt;"",'Contributions (Print)'!C72,"")</f>
        <v/>
      </c>
      <c r="C5" s="160"/>
      <c r="D5" s="93" t="str">
        <f>'Contributions (Print)'!E72</f>
        <v/>
      </c>
      <c r="E5" s="94">
        <f>'Contributions (Print)'!E90</f>
        <v>0</v>
      </c>
      <c r="F5" s="95"/>
      <c r="G5" s="96"/>
      <c r="H5" s="97">
        <f t="shared" ref="H5:H20" si="0">SUM(D5:G5)</f>
        <v>0</v>
      </c>
      <c r="I5" s="97"/>
      <c r="J5" s="97"/>
      <c r="K5" s="92">
        <f t="shared" ref="K5:K20" si="1">SUM(H5:J5)</f>
        <v>0</v>
      </c>
    </row>
    <row r="6" spans="2:14" ht="18" customHeight="1" x14ac:dyDescent="0.25">
      <c r="B6" s="159" t="str">
        <f>IF('Contributions (Print)'!C73&lt;&gt;"",'Contributions (Print)'!C73,"")</f>
        <v/>
      </c>
      <c r="C6" s="160"/>
      <c r="D6" s="93" t="str">
        <f>'Contributions (Print)'!E73</f>
        <v/>
      </c>
      <c r="E6" s="95"/>
      <c r="F6" s="95"/>
      <c r="G6" s="98">
        <f>'Contributions (Print)'!E91</f>
        <v>0</v>
      </c>
      <c r="H6" s="97">
        <f t="shared" si="0"/>
        <v>0</v>
      </c>
      <c r="I6" s="97"/>
      <c r="J6" s="97"/>
      <c r="K6" s="92">
        <f t="shared" si="1"/>
        <v>0</v>
      </c>
    </row>
    <row r="7" spans="2:14" ht="18" customHeight="1" x14ac:dyDescent="0.25">
      <c r="B7" s="159" t="str">
        <f>IF('Contributions (Print)'!C74&lt;&gt;"",'Contributions (Print)'!C74,"")</f>
        <v/>
      </c>
      <c r="C7" s="160"/>
      <c r="D7" s="93" t="str">
        <f>'Contributions (Print)'!E74</f>
        <v/>
      </c>
      <c r="E7" s="93"/>
      <c r="F7" s="93"/>
      <c r="G7" s="97"/>
      <c r="H7" s="97">
        <f t="shared" si="0"/>
        <v>0</v>
      </c>
      <c r="I7" s="97"/>
      <c r="J7" s="97"/>
      <c r="K7" s="92">
        <f t="shared" si="1"/>
        <v>0</v>
      </c>
    </row>
    <row r="8" spans="2:14" ht="18" customHeight="1" x14ac:dyDescent="0.25">
      <c r="B8" s="159" t="str">
        <f>IF('Contributions (Print)'!C75&lt;&gt;"",'Contributions (Print)'!C75,"")</f>
        <v/>
      </c>
      <c r="C8" s="160"/>
      <c r="D8" s="93" t="str">
        <f>'Contributions (Print)'!E75</f>
        <v/>
      </c>
      <c r="E8" s="93"/>
      <c r="F8" s="93"/>
      <c r="G8" s="97"/>
      <c r="H8" s="97">
        <f t="shared" si="0"/>
        <v>0</v>
      </c>
      <c r="I8" s="97"/>
      <c r="J8" s="97"/>
      <c r="K8" s="92">
        <f t="shared" si="1"/>
        <v>0</v>
      </c>
    </row>
    <row r="9" spans="2:14" ht="18" customHeight="1" x14ac:dyDescent="0.25">
      <c r="B9" s="159" t="str">
        <f>IF('Contributions (Print)'!C76&lt;&gt;"",'Contributions (Print)'!C76,"")</f>
        <v/>
      </c>
      <c r="C9" s="160"/>
      <c r="D9" s="93" t="str">
        <f>'Contributions (Print)'!E76</f>
        <v/>
      </c>
      <c r="E9" s="93"/>
      <c r="F9" s="93"/>
      <c r="G9" s="97"/>
      <c r="H9" s="97">
        <f t="shared" si="0"/>
        <v>0</v>
      </c>
      <c r="I9" s="97"/>
      <c r="J9" s="97"/>
      <c r="K9" s="92">
        <f t="shared" si="1"/>
        <v>0</v>
      </c>
    </row>
    <row r="10" spans="2:14" ht="18" customHeight="1" x14ac:dyDescent="0.25">
      <c r="B10" s="159" t="str">
        <f>IF('Contributions (Print)'!C77&lt;&gt;"",'Contributions (Print)'!C77,"")</f>
        <v/>
      </c>
      <c r="C10" s="160"/>
      <c r="D10" s="93" t="str">
        <f>'Contributions (Print)'!E77</f>
        <v/>
      </c>
      <c r="E10" s="93"/>
      <c r="F10" s="93"/>
      <c r="G10" s="97"/>
      <c r="H10" s="97">
        <f t="shared" si="0"/>
        <v>0</v>
      </c>
      <c r="I10" s="97"/>
      <c r="J10" s="97"/>
      <c r="K10" s="92">
        <f t="shared" si="1"/>
        <v>0</v>
      </c>
    </row>
    <row r="11" spans="2:14" ht="18" customHeight="1" x14ac:dyDescent="0.25">
      <c r="B11" s="159" t="str">
        <f>IF('Contributions (Print)'!C78&lt;&gt;"",'Contributions (Print)'!C78,"")</f>
        <v/>
      </c>
      <c r="C11" s="160"/>
      <c r="D11" s="93" t="str">
        <f>'Contributions (Print)'!E78</f>
        <v/>
      </c>
      <c r="E11" s="93"/>
      <c r="F11" s="93"/>
      <c r="G11" s="97"/>
      <c r="H11" s="97">
        <f t="shared" si="0"/>
        <v>0</v>
      </c>
      <c r="I11" s="97"/>
      <c r="J11" s="97"/>
      <c r="K11" s="92">
        <f t="shared" si="1"/>
        <v>0</v>
      </c>
    </row>
    <row r="12" spans="2:14" ht="18" customHeight="1" x14ac:dyDescent="0.25">
      <c r="B12" s="159" t="str">
        <f>IF('Contributions (Print)'!C79&lt;&gt;"",'Contributions (Print)'!C79,"")</f>
        <v/>
      </c>
      <c r="C12" s="160"/>
      <c r="D12" s="93" t="str">
        <f>'Contributions (Print)'!E79</f>
        <v/>
      </c>
      <c r="E12" s="93"/>
      <c r="F12" s="93"/>
      <c r="G12" s="97"/>
      <c r="H12" s="97">
        <f t="shared" si="0"/>
        <v>0</v>
      </c>
      <c r="I12" s="97"/>
      <c r="J12" s="97"/>
      <c r="K12" s="92">
        <f t="shared" si="1"/>
        <v>0</v>
      </c>
    </row>
    <row r="13" spans="2:14" ht="18" customHeight="1" x14ac:dyDescent="0.25">
      <c r="B13" s="159" t="str">
        <f>IF('Contributions (Print)'!C80&lt;&gt;"",'Contributions (Print)'!C80,"")</f>
        <v/>
      </c>
      <c r="C13" s="160"/>
      <c r="D13" s="93" t="str">
        <f>'Contributions (Print)'!E80</f>
        <v/>
      </c>
      <c r="E13" s="93"/>
      <c r="F13" s="93"/>
      <c r="G13" s="97"/>
      <c r="H13" s="97">
        <f t="shared" si="0"/>
        <v>0</v>
      </c>
      <c r="I13" s="97"/>
      <c r="J13" s="97"/>
      <c r="K13" s="92">
        <f t="shared" si="1"/>
        <v>0</v>
      </c>
    </row>
    <row r="14" spans="2:14" ht="18" customHeight="1" x14ac:dyDescent="0.25">
      <c r="B14" s="159" t="str">
        <f>IF('Contributions (Print)'!C81&lt;&gt;"",'Contributions (Print)'!C81,"")</f>
        <v/>
      </c>
      <c r="C14" s="160"/>
      <c r="D14" s="93" t="str">
        <f>'Contributions (Print)'!E81</f>
        <v/>
      </c>
      <c r="E14" s="93"/>
      <c r="F14" s="93"/>
      <c r="G14" s="97"/>
      <c r="H14" s="97">
        <f t="shared" si="0"/>
        <v>0</v>
      </c>
      <c r="I14" s="97"/>
      <c r="J14" s="97"/>
      <c r="K14" s="92">
        <f t="shared" si="1"/>
        <v>0</v>
      </c>
    </row>
    <row r="15" spans="2:14" ht="18" customHeight="1" x14ac:dyDescent="0.25">
      <c r="B15" s="159" t="str">
        <f>IF('Contributions (Print)'!C82&lt;&gt;"",'Contributions (Print)'!C82,"")</f>
        <v/>
      </c>
      <c r="C15" s="160"/>
      <c r="D15" s="93" t="str">
        <f>'Contributions (Print)'!E82</f>
        <v/>
      </c>
      <c r="E15" s="93"/>
      <c r="F15" s="93"/>
      <c r="G15" s="97"/>
      <c r="H15" s="97">
        <f t="shared" si="0"/>
        <v>0</v>
      </c>
      <c r="I15" s="97"/>
      <c r="J15" s="97"/>
      <c r="K15" s="92">
        <f t="shared" si="1"/>
        <v>0</v>
      </c>
    </row>
    <row r="16" spans="2:14" ht="18" customHeight="1" x14ac:dyDescent="0.25">
      <c r="B16" s="159" t="str">
        <f>IF('Contributions (Print)'!C83&lt;&gt;"",'Contributions (Print)'!C83,"")</f>
        <v/>
      </c>
      <c r="C16" s="160"/>
      <c r="D16" s="93" t="str">
        <f>'Contributions (Print)'!E83</f>
        <v/>
      </c>
      <c r="E16" s="93"/>
      <c r="F16" s="93"/>
      <c r="G16" s="97"/>
      <c r="H16" s="97">
        <f t="shared" si="0"/>
        <v>0</v>
      </c>
      <c r="I16" s="97"/>
      <c r="J16" s="97"/>
      <c r="K16" s="92">
        <f t="shared" si="1"/>
        <v>0</v>
      </c>
    </row>
    <row r="17" spans="2:13" ht="18" customHeight="1" x14ac:dyDescent="0.25">
      <c r="B17" s="159" t="str">
        <f>IF('Contributions (Print)'!C84&lt;&gt;"",'Contributions (Print)'!C84,"")</f>
        <v/>
      </c>
      <c r="C17" s="160"/>
      <c r="D17" s="93" t="str">
        <f>'Contributions (Print)'!E84</f>
        <v/>
      </c>
      <c r="E17" s="93"/>
      <c r="F17" s="93"/>
      <c r="G17" s="97"/>
      <c r="H17" s="97">
        <f t="shared" si="0"/>
        <v>0</v>
      </c>
      <c r="I17" s="97"/>
      <c r="J17" s="97"/>
      <c r="K17" s="92">
        <f t="shared" si="1"/>
        <v>0</v>
      </c>
    </row>
    <row r="18" spans="2:13" ht="18" customHeight="1" x14ac:dyDescent="0.25">
      <c r="B18" s="159" t="str">
        <f>IF('Contributions (Print)'!C85&lt;&gt;"",'Contributions (Print)'!C85,"")</f>
        <v/>
      </c>
      <c r="C18" s="160"/>
      <c r="D18" s="93" t="str">
        <f>'Contributions (Print)'!E85</f>
        <v/>
      </c>
      <c r="E18" s="93"/>
      <c r="F18" s="93"/>
      <c r="G18" s="97"/>
      <c r="H18" s="97">
        <f t="shared" si="0"/>
        <v>0</v>
      </c>
      <c r="I18" s="97"/>
      <c r="J18" s="97"/>
      <c r="K18" s="92">
        <f t="shared" si="1"/>
        <v>0</v>
      </c>
    </row>
    <row r="19" spans="2:13" ht="18" customHeight="1" x14ac:dyDescent="0.25">
      <c r="B19" s="159" t="str">
        <f>IF('Contributions (Print)'!C86&lt;&gt;"",'Contributions (Print)'!C86,"")</f>
        <v/>
      </c>
      <c r="C19" s="160"/>
      <c r="D19" s="93" t="str">
        <f>'Contributions (Print)'!E86</f>
        <v/>
      </c>
      <c r="E19" s="93"/>
      <c r="F19" s="93"/>
      <c r="G19" s="97"/>
      <c r="H19" s="97">
        <f t="shared" si="0"/>
        <v>0</v>
      </c>
      <c r="I19" s="97"/>
      <c r="J19" s="97"/>
      <c r="K19" s="92">
        <f t="shared" si="1"/>
        <v>0</v>
      </c>
    </row>
    <row r="20" spans="2:13" ht="18" customHeight="1" x14ac:dyDescent="0.25">
      <c r="B20" s="159" t="str">
        <f>IF('Contributions (Print)'!C87&lt;&gt;"",'Contributions (Print)'!C87,"")</f>
        <v/>
      </c>
      <c r="C20" s="160"/>
      <c r="D20" s="93" t="str">
        <f>'Contributions (Print)'!E87</f>
        <v/>
      </c>
      <c r="E20" s="93"/>
      <c r="F20" s="93"/>
      <c r="G20" s="97"/>
      <c r="H20" s="97">
        <f t="shared" si="0"/>
        <v>0</v>
      </c>
      <c r="I20" s="97"/>
      <c r="J20" s="97"/>
      <c r="K20" s="92">
        <f t="shared" si="1"/>
        <v>0</v>
      </c>
    </row>
    <row r="21" spans="2:13" ht="18" customHeight="1" thickBot="1" x14ac:dyDescent="0.3">
      <c r="B21" s="165" t="s">
        <v>24</v>
      </c>
      <c r="C21" s="166"/>
      <c r="D21" s="99">
        <f>SUM(D3:D20)</f>
        <v>0</v>
      </c>
      <c r="E21" s="99">
        <f>SUM(E3:E20)</f>
        <v>0</v>
      </c>
      <c r="F21" s="99">
        <f t="shared" ref="F21:G21" si="2">SUM(F3:F20)</f>
        <v>0</v>
      </c>
      <c r="G21" s="100">
        <f t="shared" si="2"/>
        <v>0</v>
      </c>
      <c r="H21" s="100">
        <f>SUM(H4:H20)</f>
        <v>0</v>
      </c>
      <c r="I21" s="100">
        <f t="shared" ref="I21:K21" si="3">SUM(I4:I20)</f>
        <v>0</v>
      </c>
      <c r="J21" s="100">
        <f t="shared" si="3"/>
        <v>0</v>
      </c>
      <c r="K21" s="101">
        <f t="shared" si="3"/>
        <v>0</v>
      </c>
    </row>
    <row r="22" spans="2:13" ht="18" customHeight="1" thickBot="1" x14ac:dyDescent="0.3">
      <c r="B22" s="83"/>
      <c r="C22" s="102"/>
      <c r="D22" s="102"/>
      <c r="E22" s="102"/>
      <c r="F22" s="102"/>
      <c r="G22" s="103" t="s">
        <v>25</v>
      </c>
      <c r="H22" s="104"/>
      <c r="I22" s="105"/>
      <c r="J22" s="105"/>
      <c r="K22" s="106">
        <f>K21</f>
        <v>0</v>
      </c>
    </row>
    <row r="23" spans="2:13" x14ac:dyDescent="0.25">
      <c r="B23" s="32"/>
      <c r="C23" s="33"/>
      <c r="D23" s="49"/>
      <c r="E23" s="49"/>
      <c r="F23" s="49"/>
      <c r="G23" s="49"/>
      <c r="H23" s="49"/>
      <c r="I23" s="49"/>
      <c r="J23" s="49"/>
      <c r="K23" s="50"/>
    </row>
    <row r="24" spans="2:13" ht="15.75" thickBot="1" x14ac:dyDescent="0.3">
      <c r="L24" s="42"/>
      <c r="M24" s="42"/>
    </row>
    <row r="25" spans="2:13" ht="18" customHeight="1" thickBot="1" x14ac:dyDescent="0.3">
      <c r="B25" s="173" t="s">
        <v>26</v>
      </c>
      <c r="C25" s="174"/>
      <c r="E25" s="34" t="s">
        <v>27</v>
      </c>
      <c r="F25" s="30" t="s">
        <v>28</v>
      </c>
      <c r="G25" s="31" t="s">
        <v>25</v>
      </c>
      <c r="I25" s="34" t="s">
        <v>29</v>
      </c>
      <c r="J25" s="30" t="s">
        <v>28</v>
      </c>
      <c r="K25" s="31" t="s">
        <v>25</v>
      </c>
    </row>
    <row r="26" spans="2:13" ht="18" customHeight="1" x14ac:dyDescent="0.25">
      <c r="B26" s="35" t="s">
        <v>30</v>
      </c>
      <c r="C26" s="108">
        <f>G32</f>
        <v>0</v>
      </c>
      <c r="E26" s="62">
        <v>100</v>
      </c>
      <c r="F26" s="51">
        <f>VALUE(SummLoad!A5)</f>
        <v>0</v>
      </c>
      <c r="G26" s="52">
        <f>F26*E26</f>
        <v>0</v>
      </c>
      <c r="I26" s="65">
        <v>1</v>
      </c>
      <c r="J26" s="51">
        <f>VALUE(SummLoad!A11)</f>
        <v>0</v>
      </c>
      <c r="K26" s="54">
        <f t="shared" ref="K26:K28" si="4">J26*I26</f>
        <v>0</v>
      </c>
    </row>
    <row r="27" spans="2:13" ht="18" customHeight="1" x14ac:dyDescent="0.25">
      <c r="B27" s="53" t="s">
        <v>31</v>
      </c>
      <c r="C27" s="54">
        <f>K32</f>
        <v>0</v>
      </c>
      <c r="E27" s="63">
        <v>50</v>
      </c>
      <c r="F27" s="51">
        <f>VALUE(SummLoad!A6)</f>
        <v>0</v>
      </c>
      <c r="G27" s="52">
        <f t="shared" ref="G27:G31" si="5">F27*E27</f>
        <v>0</v>
      </c>
      <c r="I27" s="66">
        <v>0.5</v>
      </c>
      <c r="J27" s="51">
        <f>VALUE(SummLoad!A12)</f>
        <v>0</v>
      </c>
      <c r="K27" s="54">
        <f t="shared" si="4"/>
        <v>0</v>
      </c>
    </row>
    <row r="28" spans="2:13" ht="18" customHeight="1" thickBot="1" x14ac:dyDescent="0.3">
      <c r="B28" s="55" t="s">
        <v>32</v>
      </c>
      <c r="C28" s="109">
        <f>'Contributions (Print)'!C95</f>
        <v>0</v>
      </c>
      <c r="E28" s="63">
        <v>20</v>
      </c>
      <c r="F28" s="51">
        <f>VALUE(SummLoad!A7)</f>
        <v>0</v>
      </c>
      <c r="G28" s="52">
        <f t="shared" si="5"/>
        <v>0</v>
      </c>
      <c r="I28" s="66">
        <v>0.25</v>
      </c>
      <c r="J28" s="51">
        <f>VALUE(SummLoad!A13)</f>
        <v>0</v>
      </c>
      <c r="K28" s="54">
        <f t="shared" si="4"/>
        <v>0</v>
      </c>
    </row>
    <row r="29" spans="2:13" ht="18" customHeight="1" thickBot="1" x14ac:dyDescent="0.3">
      <c r="B29" s="56" t="s">
        <v>33</v>
      </c>
      <c r="C29" s="58">
        <f>SUM(C26:C28)</f>
        <v>0</v>
      </c>
      <c r="E29" s="63">
        <v>10</v>
      </c>
      <c r="F29" s="51">
        <f>VALUE(SummLoad!A8)</f>
        <v>0</v>
      </c>
      <c r="G29" s="52">
        <f t="shared" si="5"/>
        <v>0</v>
      </c>
      <c r="I29" s="66">
        <v>0.1</v>
      </c>
      <c r="J29" s="51">
        <f>VALUE(SummLoad!A14)</f>
        <v>0</v>
      </c>
      <c r="K29" s="54">
        <f>J29*I29</f>
        <v>0</v>
      </c>
    </row>
    <row r="30" spans="2:13" ht="18" customHeight="1" thickBot="1" x14ac:dyDescent="0.3">
      <c r="E30" s="63">
        <v>5</v>
      </c>
      <c r="F30" s="51">
        <f>VALUE(SummLoad!A9)</f>
        <v>0</v>
      </c>
      <c r="G30" s="52">
        <f t="shared" si="5"/>
        <v>0</v>
      </c>
      <c r="I30" s="66">
        <v>0.05</v>
      </c>
      <c r="J30" s="51">
        <f>VALUE(SummLoad!A15)</f>
        <v>0</v>
      </c>
      <c r="K30" s="54">
        <f t="shared" ref="K30:K31" si="6">J30*I30</f>
        <v>0</v>
      </c>
    </row>
    <row r="31" spans="2:13" ht="18" customHeight="1" thickBot="1" x14ac:dyDescent="0.3">
      <c r="B31" s="36" t="s">
        <v>34</v>
      </c>
      <c r="C31" s="37">
        <f>SummLoad!A4</f>
        <v>0</v>
      </c>
      <c r="E31" s="64">
        <v>1</v>
      </c>
      <c r="F31" s="51">
        <f>VALUE(SummLoad!A10)</f>
        <v>0</v>
      </c>
      <c r="G31" s="52">
        <f t="shared" si="5"/>
        <v>0</v>
      </c>
      <c r="I31" s="67">
        <v>0.01</v>
      </c>
      <c r="J31" s="51">
        <f>VALUE(SummLoad!A16)</f>
        <v>0</v>
      </c>
      <c r="K31" s="54">
        <f t="shared" si="6"/>
        <v>0</v>
      </c>
    </row>
    <row r="32" spans="2:13" ht="18" customHeight="1" thickBot="1" x14ac:dyDescent="0.3">
      <c r="B32" s="36" t="s">
        <v>35</v>
      </c>
      <c r="C32" s="38">
        <f>SummLoad!A19</f>
        <v>0</v>
      </c>
      <c r="E32" s="39" t="s">
        <v>33</v>
      </c>
      <c r="F32" s="57"/>
      <c r="G32" s="58">
        <f>SUM(G26:G31)</f>
        <v>0</v>
      </c>
      <c r="I32" s="39" t="s">
        <v>33</v>
      </c>
      <c r="J32" s="57"/>
      <c r="K32" s="58">
        <f>SUM(K26:K31)</f>
        <v>0</v>
      </c>
    </row>
    <row r="33" spans="1:13" x14ac:dyDescent="0.25">
      <c r="B33" s="40"/>
      <c r="C33" s="42"/>
      <c r="D33" s="50"/>
      <c r="F33" s="40"/>
      <c r="G33" s="42"/>
      <c r="H33" s="42"/>
      <c r="I33" s="42"/>
      <c r="J33" s="42"/>
      <c r="K33" s="50"/>
    </row>
    <row r="34" spans="1:13" ht="18" customHeight="1" x14ac:dyDescent="0.25">
      <c r="E34" s="171" t="s">
        <v>36</v>
      </c>
      <c r="F34" s="171"/>
      <c r="G34" s="157">
        <f>SummLoad!A2</f>
        <v>0</v>
      </c>
      <c r="H34" s="157"/>
      <c r="I34" s="157"/>
      <c r="J34" s="157"/>
      <c r="K34" s="157"/>
    </row>
    <row r="35" spans="1:13" ht="15.75" x14ac:dyDescent="0.25">
      <c r="A35" s="41"/>
      <c r="E35" s="59"/>
      <c r="F35" s="60"/>
      <c r="G35" s="60"/>
      <c r="H35" s="60"/>
      <c r="I35" s="60"/>
      <c r="J35" s="60"/>
      <c r="K35" s="60"/>
    </row>
    <row r="36" spans="1:13" ht="18" customHeight="1" x14ac:dyDescent="0.25">
      <c r="D36" s="42"/>
      <c r="E36" s="171" t="s">
        <v>36</v>
      </c>
      <c r="F36" s="171"/>
      <c r="G36" s="157">
        <f>SummLoad!A3</f>
        <v>0</v>
      </c>
      <c r="H36" s="157"/>
      <c r="I36" s="157"/>
      <c r="J36" s="157"/>
      <c r="K36" s="157"/>
    </row>
    <row r="37" spans="1:13" ht="15.75" x14ac:dyDescent="0.25">
      <c r="D37" s="42"/>
      <c r="E37" s="59"/>
      <c r="F37" s="60"/>
      <c r="G37" s="60"/>
      <c r="H37" s="60"/>
      <c r="I37" s="60"/>
      <c r="J37" s="60"/>
      <c r="K37" s="60"/>
    </row>
    <row r="38" spans="1:13" ht="18" customHeight="1" x14ac:dyDescent="0.25">
      <c r="D38" s="42"/>
      <c r="E38" s="171" t="s">
        <v>44</v>
      </c>
      <c r="F38" s="171"/>
      <c r="G38" s="172" t="s">
        <v>45</v>
      </c>
      <c r="H38" s="172"/>
      <c r="I38" s="172"/>
      <c r="J38" s="172"/>
      <c r="K38" s="172"/>
    </row>
    <row r="39" spans="1:13" ht="15.75" thickBot="1" x14ac:dyDescent="0.3">
      <c r="D39" s="42"/>
    </row>
    <row r="40" spans="1:13" ht="18" customHeight="1" thickBot="1" x14ac:dyDescent="0.3">
      <c r="B40" s="61" t="s">
        <v>37</v>
      </c>
      <c r="C40" s="175" t="s">
        <v>38</v>
      </c>
      <c r="D40" s="176"/>
      <c r="E40" s="43" t="s">
        <v>27</v>
      </c>
      <c r="F40" s="44" t="s">
        <v>29</v>
      </c>
      <c r="G40" s="44" t="s">
        <v>39</v>
      </c>
      <c r="H40" s="43" t="s">
        <v>40</v>
      </c>
      <c r="I40" s="177" t="s">
        <v>41</v>
      </c>
      <c r="J40" s="178"/>
    </row>
    <row r="41" spans="1:13" ht="18" customHeight="1" thickBot="1" x14ac:dyDescent="0.3">
      <c r="B41" s="61" t="s">
        <v>42</v>
      </c>
      <c r="C41" s="167"/>
      <c r="D41" s="168"/>
      <c r="E41" s="45"/>
      <c r="F41" s="46"/>
      <c r="G41" s="45"/>
      <c r="H41" s="46"/>
      <c r="I41" s="169"/>
      <c r="J41" s="170"/>
    </row>
    <row r="42" spans="1:13" ht="18" customHeight="1" thickBot="1" x14ac:dyDescent="0.3">
      <c r="B42" s="61" t="s">
        <v>43</v>
      </c>
      <c r="C42" s="167"/>
      <c r="D42" s="168"/>
      <c r="E42" s="45"/>
      <c r="F42" s="46"/>
      <c r="G42" s="45"/>
      <c r="H42" s="46"/>
      <c r="I42" s="169"/>
      <c r="J42" s="170"/>
    </row>
    <row r="43" spans="1:13" x14ac:dyDescent="0.25">
      <c r="K43" s="42"/>
      <c r="L43" s="32"/>
      <c r="M43" s="32"/>
    </row>
    <row r="44" spans="1:13" x14ac:dyDescent="0.25">
      <c r="K44" s="42"/>
      <c r="L44" s="33"/>
      <c r="M44" s="33"/>
    </row>
  </sheetData>
  <mergeCells count="33">
    <mergeCell ref="E36:F36"/>
    <mergeCell ref="G34:K34"/>
    <mergeCell ref="G36:K36"/>
    <mergeCell ref="B25:C25"/>
    <mergeCell ref="C40:D40"/>
    <mergeCell ref="I40:J40"/>
    <mergeCell ref="E34:F34"/>
    <mergeCell ref="C41:D41"/>
    <mergeCell ref="I41:J41"/>
    <mergeCell ref="C42:D42"/>
    <mergeCell ref="I42:J42"/>
    <mergeCell ref="E38:F38"/>
    <mergeCell ref="G38:K38"/>
    <mergeCell ref="B21:C21"/>
    <mergeCell ref="B17:C17"/>
    <mergeCell ref="B15:C15"/>
    <mergeCell ref="B7:C7"/>
    <mergeCell ref="B8:C8"/>
    <mergeCell ref="B10:C10"/>
    <mergeCell ref="B11:C11"/>
    <mergeCell ref="B12:C12"/>
    <mergeCell ref="B13:C13"/>
    <mergeCell ref="B9:C9"/>
    <mergeCell ref="B14:C14"/>
    <mergeCell ref="B16:C16"/>
    <mergeCell ref="B18:C18"/>
    <mergeCell ref="B19:C19"/>
    <mergeCell ref="B20:C20"/>
    <mergeCell ref="B6:C6"/>
    <mergeCell ref="D2:K2"/>
    <mergeCell ref="B3:C3"/>
    <mergeCell ref="B4:C4"/>
    <mergeCell ref="B5:C5"/>
  </mergeCells>
  <printOptions horizontalCentered="1"/>
  <pageMargins left="0.47" right="0.25" top="1.07" bottom="0.47" header="0.6" footer="0.3"/>
  <pageSetup scale="84" orientation="portrait" r:id="rId1"/>
  <headerFooter>
    <oddHeader>&amp;C&amp;"-,Bold"&amp;12SUMMERVILLE CHURCH OF THE NAZARENE
WEEKLY OFFERING SUMMARY</oddHeader>
  </headerFooter>
  <rowBreaks count="1" manualBreakCount="1">
    <brk id="42" max="1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24B7D-38BF-46A2-AB54-A40BC7CE37E6}">
  <sheetPr codeName="Sheet1"/>
  <dimension ref="A1:F64"/>
  <sheetViews>
    <sheetView view="pageBreakPreview" zoomScaleNormal="100" zoomScaleSheetLayoutView="100" workbookViewId="0">
      <selection activeCell="B2" sqref="B2"/>
    </sheetView>
  </sheetViews>
  <sheetFormatPr defaultRowHeight="15.75" x14ac:dyDescent="0.25"/>
  <cols>
    <col min="1" max="1" width="9.140625" style="77"/>
    <col min="2" max="2" width="27.5703125" style="77" bestFit="1" customWidth="1"/>
    <col min="3" max="3" width="32.7109375" style="77" bestFit="1" customWidth="1"/>
    <col min="4" max="4" width="9.140625" style="77"/>
    <col min="5" max="5" width="27.5703125" style="77" bestFit="1" customWidth="1"/>
    <col min="6" max="6" width="32.7109375" style="77" bestFit="1" customWidth="1"/>
    <col min="7" max="16384" width="9.140625" style="77"/>
  </cols>
  <sheetData>
    <row r="1" spans="1:6" x14ac:dyDescent="0.25">
      <c r="A1" s="188"/>
      <c r="B1" s="80" t="s">
        <v>47</v>
      </c>
      <c r="C1" s="81" t="s">
        <v>49</v>
      </c>
      <c r="D1" s="188"/>
      <c r="E1" s="80" t="s">
        <v>47</v>
      </c>
      <c r="F1" s="81" t="s">
        <v>49</v>
      </c>
    </row>
    <row r="2" spans="1:6" x14ac:dyDescent="0.25">
      <c r="A2" s="189"/>
      <c r="B2" s="78" t="str">
        <f>IF(NewLoad!$A2&lt;&gt;"",NewLoad!$A2,"")</f>
        <v/>
      </c>
      <c r="C2" s="79" t="str">
        <f>IF(NewLoad!$B2&lt;&gt;"",NewLoad!$B2,"")</f>
        <v/>
      </c>
      <c r="D2" s="189"/>
      <c r="E2" s="78" t="str">
        <f>IF(NewLoad!$A3&lt;&gt;"",NewLoad!$A3,"")</f>
        <v/>
      </c>
      <c r="F2" s="79" t="str">
        <f>IF(NewLoad!B3&lt;&gt;"",NewLoad!$B3,"")</f>
        <v/>
      </c>
    </row>
    <row r="3" spans="1:6" x14ac:dyDescent="0.25">
      <c r="A3" s="185" t="s">
        <v>48</v>
      </c>
      <c r="B3" s="186"/>
      <c r="C3" s="187"/>
      <c r="D3" s="185" t="s">
        <v>48</v>
      </c>
      <c r="E3" s="186"/>
      <c r="F3" s="187"/>
    </row>
    <row r="4" spans="1:6" x14ac:dyDescent="0.25">
      <c r="A4" s="179" t="str">
        <f>IF(NewLoad!C2&lt;&gt;"",NewLoad!C2,"")</f>
        <v/>
      </c>
      <c r="B4" s="180"/>
      <c r="C4" s="181"/>
      <c r="D4" s="179" t="str">
        <f>IF(NewLoad!C3&lt;&gt;"",NewLoad!C3,"")</f>
        <v/>
      </c>
      <c r="E4" s="180"/>
      <c r="F4" s="181"/>
    </row>
    <row r="5" spans="1:6" x14ac:dyDescent="0.25">
      <c r="A5" s="179" t="str">
        <f>IF(NewLoad!D2&lt;&gt;"",NewLoad!D2,"")</f>
        <v/>
      </c>
      <c r="B5" s="180"/>
      <c r="C5" s="181"/>
      <c r="D5" s="179" t="str">
        <f>IF(NewLoad!D3&lt;&gt;"",NewLoad!D3,"")</f>
        <v/>
      </c>
      <c r="E5" s="180"/>
      <c r="F5" s="181"/>
    </row>
    <row r="6" spans="1:6" x14ac:dyDescent="0.25">
      <c r="A6" s="179" t="str">
        <f>IF(NewLoad!E2&lt;&gt;"",NewLoad!E2,"")</f>
        <v/>
      </c>
      <c r="B6" s="180"/>
      <c r="C6" s="181"/>
      <c r="D6" s="179" t="str">
        <f>IF(NewLoad!E3&lt;&gt;"",NewLoad!E3,"")</f>
        <v/>
      </c>
      <c r="E6" s="180"/>
      <c r="F6" s="181"/>
    </row>
    <row r="7" spans="1:6" x14ac:dyDescent="0.25">
      <c r="A7" s="179" t="str">
        <f>IF(NewLoad!F2&lt;&gt;"",NewLoad!F2,"")</f>
        <v/>
      </c>
      <c r="B7" s="180"/>
      <c r="C7" s="181"/>
      <c r="D7" s="179" t="str">
        <f>IF(NewLoad!F3&lt;&gt;"",NewLoad!F3,"")</f>
        <v/>
      </c>
      <c r="E7" s="180"/>
      <c r="F7" s="181"/>
    </row>
    <row r="8" spans="1:6" ht="16.5" thickBot="1" x14ac:dyDescent="0.3">
      <c r="A8" s="182" t="str">
        <f>IF(NewLoad!G2&lt;&gt;"",NewLoad!G2,"")</f>
        <v/>
      </c>
      <c r="B8" s="183"/>
      <c r="C8" s="184"/>
      <c r="D8" s="179" t="str">
        <f>IF(NewLoad!H3&lt;&gt;"",NewLoad!H3,"")</f>
        <v/>
      </c>
      <c r="E8" s="180"/>
      <c r="F8" s="181"/>
    </row>
    <row r="9" spans="1:6" x14ac:dyDescent="0.25">
      <c r="A9" s="188"/>
      <c r="B9" s="80" t="s">
        <v>47</v>
      </c>
      <c r="C9" s="81" t="s">
        <v>49</v>
      </c>
      <c r="D9" s="188"/>
      <c r="E9" s="80" t="s">
        <v>47</v>
      </c>
      <c r="F9" s="81" t="s">
        <v>49</v>
      </c>
    </row>
    <row r="10" spans="1:6" x14ac:dyDescent="0.25">
      <c r="A10" s="189"/>
      <c r="B10" s="78" t="str">
        <f>IF(NewLoad!$A4&lt;&gt;"",NewLoad!$A4,"")</f>
        <v/>
      </c>
      <c r="C10" s="79" t="str">
        <f>IF(NewLoad!$B4&lt;&gt;"",NewLoad!$B4,"")</f>
        <v/>
      </c>
      <c r="D10" s="189"/>
      <c r="E10" s="78" t="str">
        <f>IF(NewLoad!$A5&lt;&gt;"",NewLoad!$A5,"")</f>
        <v/>
      </c>
      <c r="F10" s="79" t="str">
        <f>IF(NewLoad!$B5&lt;&gt;"",NewLoad!$B5,"")</f>
        <v/>
      </c>
    </row>
    <row r="11" spans="1:6" x14ac:dyDescent="0.25">
      <c r="A11" s="185" t="s">
        <v>48</v>
      </c>
      <c r="B11" s="186"/>
      <c r="C11" s="187"/>
      <c r="D11" s="185" t="s">
        <v>48</v>
      </c>
      <c r="E11" s="186"/>
      <c r="F11" s="187"/>
    </row>
    <row r="12" spans="1:6" x14ac:dyDescent="0.25">
      <c r="A12" s="179" t="str">
        <f>IF(NewLoad!C4&lt;&gt;"",NewLoad!C4,"")</f>
        <v/>
      </c>
      <c r="B12" s="180"/>
      <c r="C12" s="181"/>
      <c r="D12" s="179" t="str">
        <f>IF(NewLoad!C5&lt;&gt;"",NewLoad!C5,"")</f>
        <v/>
      </c>
      <c r="E12" s="180"/>
      <c r="F12" s="181"/>
    </row>
    <row r="13" spans="1:6" x14ac:dyDescent="0.25">
      <c r="A13" s="179" t="str">
        <f>IF(NewLoad!D4&lt;&gt;"",NewLoad!D4,"")</f>
        <v/>
      </c>
      <c r="B13" s="180"/>
      <c r="C13" s="181"/>
      <c r="D13" s="179" t="str">
        <f>IF(NewLoad!D5&lt;&gt;"",NewLoad!D5,"")</f>
        <v/>
      </c>
      <c r="E13" s="180"/>
      <c r="F13" s="181"/>
    </row>
    <row r="14" spans="1:6" x14ac:dyDescent="0.25">
      <c r="A14" s="179" t="str">
        <f>IF(NewLoad!E4&lt;&gt;"",NewLoad!E4,"")</f>
        <v/>
      </c>
      <c r="B14" s="180"/>
      <c r="C14" s="181"/>
      <c r="D14" s="179" t="str">
        <f>IF(NewLoad!E5&lt;&gt;"",NewLoad!E5,"")</f>
        <v/>
      </c>
      <c r="E14" s="180"/>
      <c r="F14" s="181"/>
    </row>
    <row r="15" spans="1:6" x14ac:dyDescent="0.25">
      <c r="A15" s="179" t="str">
        <f>IF(NewLoad!F4&lt;&gt;"",NewLoad!F4,"")</f>
        <v/>
      </c>
      <c r="B15" s="180"/>
      <c r="C15" s="181"/>
      <c r="D15" s="179" t="str">
        <f>IF(NewLoad!F5&lt;&gt;"",NewLoad!F5,"")</f>
        <v/>
      </c>
      <c r="E15" s="180"/>
      <c r="F15" s="181"/>
    </row>
    <row r="16" spans="1:6" ht="16.5" thickBot="1" x14ac:dyDescent="0.3">
      <c r="A16" s="182" t="str">
        <f>IF(NewLoad!H4&lt;&gt;"",NewLoad!H4,"")</f>
        <v/>
      </c>
      <c r="B16" s="183"/>
      <c r="C16" s="184"/>
      <c r="D16" s="179" t="str">
        <f>IF(NewLoad!H5&lt;&gt;"",NewLoad!H5,"")</f>
        <v/>
      </c>
      <c r="E16" s="180"/>
      <c r="F16" s="181"/>
    </row>
    <row r="17" spans="1:6" x14ac:dyDescent="0.25">
      <c r="A17" s="188"/>
      <c r="B17" s="80" t="s">
        <v>47</v>
      </c>
      <c r="C17" s="81" t="s">
        <v>49</v>
      </c>
      <c r="D17" s="188"/>
      <c r="E17" s="80" t="s">
        <v>47</v>
      </c>
      <c r="F17" s="81" t="s">
        <v>49</v>
      </c>
    </row>
    <row r="18" spans="1:6" x14ac:dyDescent="0.25">
      <c r="A18" s="189"/>
      <c r="B18" s="78" t="str">
        <f>IF(NewLoad!$A6&lt;&gt;"",NewLoad!$A6,"")</f>
        <v/>
      </c>
      <c r="C18" s="79" t="str">
        <f>IF(NewLoad!$B6&lt;&gt;"",NewLoad!$B6,"")</f>
        <v/>
      </c>
      <c r="D18" s="189"/>
      <c r="E18" s="78" t="str">
        <f>IF(NewLoad!$A7&lt;&gt;"",NewLoad!$A7,"")</f>
        <v/>
      </c>
      <c r="F18" s="79" t="str">
        <f>IF(NewLoad!$B7&lt;&gt;"",NewLoad!$B7,"")</f>
        <v/>
      </c>
    </row>
    <row r="19" spans="1:6" x14ac:dyDescent="0.25">
      <c r="A19" s="185" t="s">
        <v>48</v>
      </c>
      <c r="B19" s="186"/>
      <c r="C19" s="187"/>
      <c r="D19" s="185" t="s">
        <v>48</v>
      </c>
      <c r="E19" s="186"/>
      <c r="F19" s="187"/>
    </row>
    <row r="20" spans="1:6" x14ac:dyDescent="0.25">
      <c r="A20" s="179" t="str">
        <f>IF(NewLoad!C6&lt;&gt;"",NewLoad!C6,"")</f>
        <v/>
      </c>
      <c r="B20" s="180"/>
      <c r="C20" s="181"/>
      <c r="D20" s="179" t="str">
        <f>IF(NewLoad!C7&lt;&gt;"",NewLoad!C7,"")</f>
        <v/>
      </c>
      <c r="E20" s="180"/>
      <c r="F20" s="181"/>
    </row>
    <row r="21" spans="1:6" x14ac:dyDescent="0.25">
      <c r="A21" s="179" t="str">
        <f>IF(NewLoad!D6&lt;&gt;"",NewLoad!D6,"")</f>
        <v/>
      </c>
      <c r="B21" s="180"/>
      <c r="C21" s="181"/>
      <c r="D21" s="179" t="str">
        <f>IF(NewLoad!D7&lt;&gt;"",NewLoad!D7,"")</f>
        <v/>
      </c>
      <c r="E21" s="180"/>
      <c r="F21" s="181"/>
    </row>
    <row r="22" spans="1:6" x14ac:dyDescent="0.25">
      <c r="A22" s="179" t="str">
        <f>IF(NewLoad!E6&lt;&gt;"",NewLoad!E6,"")</f>
        <v/>
      </c>
      <c r="B22" s="180"/>
      <c r="C22" s="181"/>
      <c r="D22" s="179" t="str">
        <f>IF(NewLoad!E7&lt;&gt;"",NewLoad!E7,"")</f>
        <v/>
      </c>
      <c r="E22" s="180"/>
      <c r="F22" s="181"/>
    </row>
    <row r="23" spans="1:6" x14ac:dyDescent="0.25">
      <c r="A23" s="179" t="str">
        <f>IF(NewLoad!F6&lt;&gt;"",NewLoad!F6,"")</f>
        <v/>
      </c>
      <c r="B23" s="180"/>
      <c r="C23" s="181"/>
      <c r="D23" s="179" t="str">
        <f>IF(NewLoad!F7&lt;&gt;"",NewLoad!F7,"")</f>
        <v/>
      </c>
      <c r="E23" s="180"/>
      <c r="F23" s="181"/>
    </row>
    <row r="24" spans="1:6" ht="16.5" thickBot="1" x14ac:dyDescent="0.3">
      <c r="A24" s="182" t="str">
        <f>IF(NewLoad!H6&lt;&gt;"",NewLoad!H6,"")</f>
        <v/>
      </c>
      <c r="B24" s="183"/>
      <c r="C24" s="184"/>
      <c r="D24" s="179" t="str">
        <f>IF(NewLoad!H7&lt;&gt;"",NewLoad!H7,"")</f>
        <v/>
      </c>
      <c r="E24" s="180"/>
      <c r="F24" s="181"/>
    </row>
    <row r="25" spans="1:6" x14ac:dyDescent="0.25">
      <c r="A25" s="188"/>
      <c r="B25" s="80" t="s">
        <v>47</v>
      </c>
      <c r="C25" s="81" t="s">
        <v>49</v>
      </c>
      <c r="D25" s="188"/>
      <c r="E25" s="80" t="s">
        <v>47</v>
      </c>
      <c r="F25" s="81" t="s">
        <v>49</v>
      </c>
    </row>
    <row r="26" spans="1:6" x14ac:dyDescent="0.25">
      <c r="A26" s="189"/>
      <c r="B26" s="78" t="str">
        <f>IF(NewLoad!$A8&lt;&gt;"",NewLoad!$A8,"")</f>
        <v/>
      </c>
      <c r="C26" s="79" t="str">
        <f>IF(NewLoad!$B8&lt;&gt;"",NewLoad!$B8,"")</f>
        <v/>
      </c>
      <c r="D26" s="189"/>
      <c r="E26" s="78" t="str">
        <f>IF(NewLoad!$A9&lt;&gt;"",NewLoad!$A9,"")</f>
        <v/>
      </c>
      <c r="F26" s="79" t="str">
        <f>IF(NewLoad!$B9&lt;&gt;"",NewLoad!$B9,"")</f>
        <v/>
      </c>
    </row>
    <row r="27" spans="1:6" x14ac:dyDescent="0.25">
      <c r="A27" s="185" t="s">
        <v>48</v>
      </c>
      <c r="B27" s="186"/>
      <c r="C27" s="187"/>
      <c r="D27" s="185" t="s">
        <v>48</v>
      </c>
      <c r="E27" s="186"/>
      <c r="F27" s="187"/>
    </row>
    <row r="28" spans="1:6" x14ac:dyDescent="0.25">
      <c r="A28" s="179" t="str">
        <f>IF(NewLoad!C8&lt;&gt;"",NewLoad!C8,"")</f>
        <v/>
      </c>
      <c r="B28" s="180"/>
      <c r="C28" s="181"/>
      <c r="D28" s="179" t="str">
        <f>IF(NewLoad!C9&lt;&gt;"",NewLoad!C9,"")</f>
        <v/>
      </c>
      <c r="E28" s="180"/>
      <c r="F28" s="181"/>
    </row>
    <row r="29" spans="1:6" x14ac:dyDescent="0.25">
      <c r="A29" s="179" t="str">
        <f>IF(NewLoad!D8&lt;&gt;"",NewLoad!D8,"")</f>
        <v/>
      </c>
      <c r="B29" s="180"/>
      <c r="C29" s="181"/>
      <c r="D29" s="179" t="str">
        <f>IF(NewLoad!D9&lt;&gt;"",NewLoad!D9,"")</f>
        <v/>
      </c>
      <c r="E29" s="180"/>
      <c r="F29" s="181"/>
    </row>
    <row r="30" spans="1:6" x14ac:dyDescent="0.25">
      <c r="A30" s="179" t="str">
        <f>IF(NewLoad!E8&lt;&gt;"",NewLoad!E8,"")</f>
        <v/>
      </c>
      <c r="B30" s="180"/>
      <c r="C30" s="181"/>
      <c r="D30" s="179" t="str">
        <f>IF(NewLoad!E9&lt;&gt;"",NewLoad!E9,"")</f>
        <v/>
      </c>
      <c r="E30" s="180"/>
      <c r="F30" s="181"/>
    </row>
    <row r="31" spans="1:6" x14ac:dyDescent="0.25">
      <c r="A31" s="179" t="str">
        <f>IF(NewLoad!F8&lt;&gt;"",NewLoad!F8,"")</f>
        <v/>
      </c>
      <c r="B31" s="180"/>
      <c r="C31" s="181"/>
      <c r="D31" s="179" t="str">
        <f>IF(NewLoad!F9&lt;&gt;"",NewLoad!F9,"")</f>
        <v/>
      </c>
      <c r="E31" s="180"/>
      <c r="F31" s="181"/>
    </row>
    <row r="32" spans="1:6" ht="16.5" thickBot="1" x14ac:dyDescent="0.3">
      <c r="A32" s="182" t="str">
        <f>IF(NewLoad!H8&lt;&gt;"",NewLoad!H8,"")</f>
        <v/>
      </c>
      <c r="B32" s="183"/>
      <c r="C32" s="184"/>
      <c r="D32" s="179" t="str">
        <f>IF(NewLoad!H9&lt;&gt;"",NewLoad!H9,"")</f>
        <v/>
      </c>
      <c r="E32" s="180"/>
      <c r="F32" s="181"/>
    </row>
    <row r="33" spans="1:6" x14ac:dyDescent="0.25">
      <c r="A33" s="188"/>
      <c r="B33" s="80" t="s">
        <v>47</v>
      </c>
      <c r="C33" s="81" t="s">
        <v>49</v>
      </c>
      <c r="D33" s="188"/>
      <c r="E33" s="80" t="s">
        <v>47</v>
      </c>
      <c r="F33" s="81" t="s">
        <v>49</v>
      </c>
    </row>
    <row r="34" spans="1:6" x14ac:dyDescent="0.25">
      <c r="A34" s="189"/>
      <c r="B34" s="78" t="str">
        <f>IF(NewLoad!$A10&lt;&gt;"",NewLoad!$A10,"")</f>
        <v/>
      </c>
      <c r="C34" s="79" t="str">
        <f>IF(NewLoad!$B10&lt;&gt;"",NewLoad!$B10,"")</f>
        <v/>
      </c>
      <c r="D34" s="189"/>
      <c r="E34" s="78" t="str">
        <f>IF(NewLoad!$A11&lt;&gt;"",NewLoad!$A11,"")</f>
        <v/>
      </c>
      <c r="F34" s="79" t="str">
        <f>IF(NewLoad!$B11&lt;&gt;"",NewLoad!$B11,"")</f>
        <v/>
      </c>
    </row>
    <row r="35" spans="1:6" x14ac:dyDescent="0.25">
      <c r="A35" s="185" t="s">
        <v>48</v>
      </c>
      <c r="B35" s="186"/>
      <c r="C35" s="187"/>
      <c r="D35" s="185" t="s">
        <v>48</v>
      </c>
      <c r="E35" s="186"/>
      <c r="F35" s="187"/>
    </row>
    <row r="36" spans="1:6" x14ac:dyDescent="0.25">
      <c r="A36" s="179" t="str">
        <f>IF(NewLoad!C10&lt;&gt;"",NewLoad!C10,"")</f>
        <v/>
      </c>
      <c r="B36" s="180"/>
      <c r="C36" s="181"/>
      <c r="D36" s="179" t="str">
        <f>IF(NewLoad!C11&lt;&gt;"",NewLoad!C11,"")</f>
        <v/>
      </c>
      <c r="E36" s="180"/>
      <c r="F36" s="181"/>
    </row>
    <row r="37" spans="1:6" x14ac:dyDescent="0.25">
      <c r="A37" s="179" t="str">
        <f>IF(NewLoad!D10&lt;&gt;"",NewLoad!D10,"")</f>
        <v/>
      </c>
      <c r="B37" s="180"/>
      <c r="C37" s="181"/>
      <c r="D37" s="179" t="str">
        <f>IF(NewLoad!D11&lt;&gt;"",NewLoad!D11,"")</f>
        <v/>
      </c>
      <c r="E37" s="180"/>
      <c r="F37" s="181"/>
    </row>
    <row r="38" spans="1:6" x14ac:dyDescent="0.25">
      <c r="A38" s="179" t="str">
        <f>IF(NewLoad!E10&lt;&gt;"",NewLoad!E10,"")</f>
        <v/>
      </c>
      <c r="B38" s="180"/>
      <c r="C38" s="181"/>
      <c r="D38" s="179" t="str">
        <f>IF(NewLoad!E11&lt;&gt;"",NewLoad!E11,"")</f>
        <v/>
      </c>
      <c r="E38" s="180"/>
      <c r="F38" s="181"/>
    </row>
    <row r="39" spans="1:6" x14ac:dyDescent="0.25">
      <c r="A39" s="179" t="str">
        <f>IF(NewLoad!F10&lt;&gt;"",NewLoad!F10,"")</f>
        <v/>
      </c>
      <c r="B39" s="180"/>
      <c r="C39" s="181"/>
      <c r="D39" s="179" t="str">
        <f>IF(NewLoad!F11&lt;&gt;"",NewLoad!F11,"")</f>
        <v/>
      </c>
      <c r="E39" s="180"/>
      <c r="F39" s="181"/>
    </row>
    <row r="40" spans="1:6" ht="16.5" thickBot="1" x14ac:dyDescent="0.3">
      <c r="A40" s="182" t="str">
        <f>IF(NewLoad!H10&lt;&gt;"",NewLoad!H10,"")</f>
        <v/>
      </c>
      <c r="B40" s="183"/>
      <c r="C40" s="184"/>
      <c r="D40" s="179" t="str">
        <f>IF(NewLoad!H11&lt;&gt;"",NewLoad!H11,"")</f>
        <v/>
      </c>
      <c r="E40" s="180"/>
      <c r="F40" s="181"/>
    </row>
    <row r="41" spans="1:6" x14ac:dyDescent="0.25">
      <c r="A41" s="188"/>
      <c r="B41" s="80" t="s">
        <v>47</v>
      </c>
      <c r="C41" s="81" t="s">
        <v>49</v>
      </c>
      <c r="D41" s="188"/>
      <c r="E41" s="80" t="s">
        <v>47</v>
      </c>
      <c r="F41" s="81" t="s">
        <v>49</v>
      </c>
    </row>
    <row r="42" spans="1:6" x14ac:dyDescent="0.25">
      <c r="A42" s="189"/>
      <c r="B42" s="78" t="str">
        <f>IF(NewLoad!$A12&lt;&gt;"",NewLoad!$A12,"")</f>
        <v/>
      </c>
      <c r="C42" s="79" t="str">
        <f>IF(NewLoad!$B12&lt;&gt;"",NewLoad!$B12,"")</f>
        <v/>
      </c>
      <c r="D42" s="189"/>
      <c r="E42" s="78" t="str">
        <f>IF(NewLoad!$A13&lt;&gt;"",NewLoad!$A13,"")</f>
        <v/>
      </c>
      <c r="F42" s="79" t="str">
        <f>IF(NewLoad!$B13&lt;&gt;"",NewLoad!$B13,"")</f>
        <v/>
      </c>
    </row>
    <row r="43" spans="1:6" x14ac:dyDescent="0.25">
      <c r="A43" s="185" t="s">
        <v>48</v>
      </c>
      <c r="B43" s="186"/>
      <c r="C43" s="187"/>
      <c r="D43" s="185" t="s">
        <v>48</v>
      </c>
      <c r="E43" s="186"/>
      <c r="F43" s="187"/>
    </row>
    <row r="44" spans="1:6" x14ac:dyDescent="0.25">
      <c r="A44" s="179" t="str">
        <f>IF(NewLoad!C12&lt;&gt;"",NewLoad!C12,"")</f>
        <v/>
      </c>
      <c r="B44" s="180"/>
      <c r="C44" s="181"/>
      <c r="D44" s="179" t="str">
        <f>IF(NewLoad!C13&lt;&gt;"",NewLoad!C13,"")</f>
        <v/>
      </c>
      <c r="E44" s="180"/>
      <c r="F44" s="181"/>
    </row>
    <row r="45" spans="1:6" x14ac:dyDescent="0.25">
      <c r="A45" s="179" t="str">
        <f>IF(NewLoad!D12&lt;&gt;"",NewLoad!D12,"")</f>
        <v/>
      </c>
      <c r="B45" s="180"/>
      <c r="C45" s="181"/>
      <c r="D45" s="179" t="str">
        <f>IF(NewLoad!D13&lt;&gt;"",NewLoad!D13,"")</f>
        <v/>
      </c>
      <c r="E45" s="180"/>
      <c r="F45" s="181"/>
    </row>
    <row r="46" spans="1:6" x14ac:dyDescent="0.25">
      <c r="A46" s="179" t="str">
        <f>IF(NewLoad!E12&lt;&gt;"",NewLoad!E12,"")</f>
        <v/>
      </c>
      <c r="B46" s="180"/>
      <c r="C46" s="181"/>
      <c r="D46" s="179" t="str">
        <f>IF(NewLoad!E13&lt;&gt;"",NewLoad!E13,"")</f>
        <v/>
      </c>
      <c r="E46" s="180"/>
      <c r="F46" s="181"/>
    </row>
    <row r="47" spans="1:6" x14ac:dyDescent="0.25">
      <c r="A47" s="179" t="str">
        <f>IF(NewLoad!F12&lt;&gt;"",NewLoad!F12,"")</f>
        <v/>
      </c>
      <c r="B47" s="180"/>
      <c r="C47" s="181"/>
      <c r="D47" s="179" t="str">
        <f>IF(NewLoad!F13&lt;&gt;"",NewLoad!F13,"")</f>
        <v/>
      </c>
      <c r="E47" s="180"/>
      <c r="F47" s="181"/>
    </row>
    <row r="48" spans="1:6" ht="16.5" thickBot="1" x14ac:dyDescent="0.3">
      <c r="A48" s="182" t="str">
        <f>IF(NewLoad!H12&lt;&gt;"",NewLoad!H12,"")</f>
        <v/>
      </c>
      <c r="B48" s="183"/>
      <c r="C48" s="184"/>
      <c r="D48" s="179" t="str">
        <f>IF(NewLoad!H13&lt;&gt;"",NewLoad!H13,"")</f>
        <v/>
      </c>
      <c r="E48" s="180"/>
      <c r="F48" s="181"/>
    </row>
    <row r="49" spans="1:6" x14ac:dyDescent="0.25">
      <c r="A49" s="188"/>
      <c r="B49" s="80" t="s">
        <v>47</v>
      </c>
      <c r="C49" s="81" t="s">
        <v>49</v>
      </c>
      <c r="D49" s="188"/>
      <c r="E49" s="80" t="s">
        <v>47</v>
      </c>
      <c r="F49" s="81" t="s">
        <v>49</v>
      </c>
    </row>
    <row r="50" spans="1:6" x14ac:dyDescent="0.25">
      <c r="A50" s="189"/>
      <c r="B50" s="78" t="str">
        <f>IF(NewLoad!$A14&lt;&gt;"",NewLoad!$A14,"")</f>
        <v/>
      </c>
      <c r="C50" s="79" t="str">
        <f>IF(NewLoad!$B14&lt;&gt;"",NewLoad!$B14,"")</f>
        <v/>
      </c>
      <c r="D50" s="189"/>
      <c r="E50" s="78" t="str">
        <f>IF(NewLoad!$A15&lt;&gt;"",NewLoad!$A15,"")</f>
        <v/>
      </c>
      <c r="F50" s="79" t="str">
        <f>IF(NewLoad!$B15&lt;&gt;"",NewLoad!$B15,"")</f>
        <v/>
      </c>
    </row>
    <row r="51" spans="1:6" x14ac:dyDescent="0.25">
      <c r="A51" s="185" t="s">
        <v>48</v>
      </c>
      <c r="B51" s="186"/>
      <c r="C51" s="187"/>
      <c r="D51" s="185" t="s">
        <v>48</v>
      </c>
      <c r="E51" s="186"/>
      <c r="F51" s="187"/>
    </row>
    <row r="52" spans="1:6" x14ac:dyDescent="0.25">
      <c r="A52" s="179" t="str">
        <f>IF(NewLoad!C14&lt;&gt;"",NewLoad!C14,"")</f>
        <v/>
      </c>
      <c r="B52" s="180"/>
      <c r="C52" s="181"/>
      <c r="D52" s="179" t="str">
        <f>IF(NewLoad!C15&lt;&gt;"",NewLoad!C15,"")</f>
        <v/>
      </c>
      <c r="E52" s="180"/>
      <c r="F52" s="181"/>
    </row>
    <row r="53" spans="1:6" x14ac:dyDescent="0.25">
      <c r="A53" s="179" t="str">
        <f>IF(NewLoad!D14&lt;&gt;"",NewLoad!D14,"")</f>
        <v/>
      </c>
      <c r="B53" s="180"/>
      <c r="C53" s="181"/>
      <c r="D53" s="179" t="str">
        <f>IF(NewLoad!D15&lt;&gt;"",NewLoad!D15,"")</f>
        <v/>
      </c>
      <c r="E53" s="180"/>
      <c r="F53" s="181"/>
    </row>
    <row r="54" spans="1:6" x14ac:dyDescent="0.25">
      <c r="A54" s="179" t="str">
        <f>IF(NewLoad!E14&lt;&gt;"",NewLoad!E14,"")</f>
        <v/>
      </c>
      <c r="B54" s="180"/>
      <c r="C54" s="181"/>
      <c r="D54" s="179" t="str">
        <f>IF(NewLoad!E15&lt;&gt;"",NewLoad!E15,"")</f>
        <v/>
      </c>
      <c r="E54" s="180"/>
      <c r="F54" s="181"/>
    </row>
    <row r="55" spans="1:6" x14ac:dyDescent="0.25">
      <c r="A55" s="179" t="str">
        <f>IF(NewLoad!F14&lt;&gt;"",NewLoad!F14,"")</f>
        <v/>
      </c>
      <c r="B55" s="180"/>
      <c r="C55" s="181"/>
      <c r="D55" s="179" t="str">
        <f>IF(NewLoad!F15&lt;&gt;"",NewLoad!F15,"")</f>
        <v/>
      </c>
      <c r="E55" s="180"/>
      <c r="F55" s="181"/>
    </row>
    <row r="56" spans="1:6" ht="16.5" thickBot="1" x14ac:dyDescent="0.3">
      <c r="A56" s="182" t="str">
        <f>IF(NewLoad!H14&lt;&gt;"",NewLoad!H14,"")</f>
        <v/>
      </c>
      <c r="B56" s="183"/>
      <c r="C56" s="184"/>
      <c r="D56" s="179" t="str">
        <f>IF(NewLoad!H15&lt;&gt;"",NewLoad!H15,"")</f>
        <v/>
      </c>
      <c r="E56" s="180"/>
      <c r="F56" s="181"/>
    </row>
    <row r="57" spans="1:6" x14ac:dyDescent="0.25">
      <c r="A57" s="188"/>
      <c r="B57" s="80" t="s">
        <v>47</v>
      </c>
      <c r="C57" s="81" t="s">
        <v>49</v>
      </c>
      <c r="D57" s="188"/>
      <c r="E57" s="80" t="s">
        <v>47</v>
      </c>
      <c r="F57" s="81" t="s">
        <v>49</v>
      </c>
    </row>
    <row r="58" spans="1:6" x14ac:dyDescent="0.25">
      <c r="A58" s="189"/>
      <c r="B58" s="78" t="str">
        <f>IF(NewLoad!$A16&lt;&gt;"",NewLoad!$A16,"")</f>
        <v/>
      </c>
      <c r="C58" s="79" t="str">
        <f>IF(NewLoad!$B16&lt;&gt;"",NewLoad!$B16,"")</f>
        <v/>
      </c>
      <c r="D58" s="189"/>
      <c r="E58" s="78" t="str">
        <f>IF(NewLoad!$A17&lt;&gt;"",NewLoad!$A17,"")</f>
        <v/>
      </c>
      <c r="F58" s="79" t="str">
        <f>IF(NewLoad!$B17&lt;&gt;"",NewLoad!$B17,"")</f>
        <v/>
      </c>
    </row>
    <row r="59" spans="1:6" x14ac:dyDescent="0.25">
      <c r="A59" s="185" t="s">
        <v>48</v>
      </c>
      <c r="B59" s="186"/>
      <c r="C59" s="187"/>
      <c r="D59" s="185" t="s">
        <v>48</v>
      </c>
      <c r="E59" s="186"/>
      <c r="F59" s="187"/>
    </row>
    <row r="60" spans="1:6" x14ac:dyDescent="0.25">
      <c r="A60" s="179" t="str">
        <f>IF(NewLoad!C16&lt;&gt;"",NewLoad!C16,"")</f>
        <v/>
      </c>
      <c r="B60" s="180"/>
      <c r="C60" s="181"/>
      <c r="D60" s="179" t="str">
        <f>IF(NewLoad!C17&lt;&gt;"",NewLoad!C17,"")</f>
        <v/>
      </c>
      <c r="E60" s="180"/>
      <c r="F60" s="181"/>
    </row>
    <row r="61" spans="1:6" x14ac:dyDescent="0.25">
      <c r="A61" s="179" t="str">
        <f>IF(NewLoad!D16&lt;&gt;"",NewLoad!D16,"")</f>
        <v/>
      </c>
      <c r="B61" s="180"/>
      <c r="C61" s="181"/>
      <c r="D61" s="179" t="str">
        <f>IF(NewLoad!D17&lt;&gt;"",NewLoad!D17,"")</f>
        <v/>
      </c>
      <c r="E61" s="180"/>
      <c r="F61" s="181"/>
    </row>
    <row r="62" spans="1:6" x14ac:dyDescent="0.25">
      <c r="A62" s="179" t="str">
        <f>IF(NewLoad!E16&lt;&gt;"",NewLoad!E16,"")</f>
        <v/>
      </c>
      <c r="B62" s="180"/>
      <c r="C62" s="181"/>
      <c r="D62" s="179" t="str">
        <f>IF(NewLoad!E17&lt;&gt;"",NewLoad!E17,"")</f>
        <v/>
      </c>
      <c r="E62" s="180"/>
      <c r="F62" s="181"/>
    </row>
    <row r="63" spans="1:6" x14ac:dyDescent="0.25">
      <c r="A63" s="179" t="str">
        <f>IF(NewLoad!F16&lt;&gt;"",NewLoad!F16,"")</f>
        <v/>
      </c>
      <c r="B63" s="180"/>
      <c r="C63" s="181"/>
      <c r="D63" s="179" t="str">
        <f>IF(NewLoad!F17&lt;&gt;"",NewLoad!F17,"")</f>
        <v/>
      </c>
      <c r="E63" s="180"/>
      <c r="F63" s="181"/>
    </row>
    <row r="64" spans="1:6" ht="16.5" thickBot="1" x14ac:dyDescent="0.3">
      <c r="A64" s="182" t="str">
        <f>IF(NewLoad!H16&lt;&gt;"",NewLoad!H16,"")</f>
        <v/>
      </c>
      <c r="B64" s="183"/>
      <c r="C64" s="184"/>
      <c r="D64" s="179" t="str">
        <f>IF(NewLoad!H17&lt;&gt;"",NewLoad!H17,"")</f>
        <v/>
      </c>
      <c r="E64" s="180"/>
      <c r="F64" s="181"/>
    </row>
  </sheetData>
  <mergeCells count="112">
    <mergeCell ref="A17:A18"/>
    <mergeCell ref="A19:C19"/>
    <mergeCell ref="A20:C20"/>
    <mergeCell ref="A21:C21"/>
    <mergeCell ref="A1:A2"/>
    <mergeCell ref="A9:A10"/>
    <mergeCell ref="A11:C11"/>
    <mergeCell ref="A12:C12"/>
    <mergeCell ref="A13:C13"/>
    <mergeCell ref="A14:C14"/>
    <mergeCell ref="A3:C3"/>
    <mergeCell ref="A4:C4"/>
    <mergeCell ref="A5:C5"/>
    <mergeCell ref="A6:C6"/>
    <mergeCell ref="A7:C7"/>
    <mergeCell ref="A8:C8"/>
    <mergeCell ref="A36:C36"/>
    <mergeCell ref="A37:C37"/>
    <mergeCell ref="A38:C38"/>
    <mergeCell ref="A39:C39"/>
    <mergeCell ref="A40:C40"/>
    <mergeCell ref="D1:D2"/>
    <mergeCell ref="D6:F6"/>
    <mergeCell ref="D11:F11"/>
    <mergeCell ref="D15:F15"/>
    <mergeCell ref="D20:F20"/>
    <mergeCell ref="A29:C29"/>
    <mergeCell ref="A30:C30"/>
    <mergeCell ref="A31:C31"/>
    <mergeCell ref="A32:C32"/>
    <mergeCell ref="A33:A34"/>
    <mergeCell ref="A35:C35"/>
    <mergeCell ref="A22:C22"/>
    <mergeCell ref="A23:C23"/>
    <mergeCell ref="A24:C24"/>
    <mergeCell ref="A25:A26"/>
    <mergeCell ref="A27:C27"/>
    <mergeCell ref="A28:C28"/>
    <mergeCell ref="A15:C15"/>
    <mergeCell ref="A16:C16"/>
    <mergeCell ref="D12:F12"/>
    <mergeCell ref="D13:F13"/>
    <mergeCell ref="D14:F14"/>
    <mergeCell ref="D7:F7"/>
    <mergeCell ref="D8:F8"/>
    <mergeCell ref="D9:D10"/>
    <mergeCell ref="D3:F3"/>
    <mergeCell ref="D4:F4"/>
    <mergeCell ref="D5:F5"/>
    <mergeCell ref="D24:F24"/>
    <mergeCell ref="D25:D26"/>
    <mergeCell ref="D27:F27"/>
    <mergeCell ref="D21:F21"/>
    <mergeCell ref="D22:F22"/>
    <mergeCell ref="D23:F23"/>
    <mergeCell ref="D16:F16"/>
    <mergeCell ref="D17:D18"/>
    <mergeCell ref="D19:F19"/>
    <mergeCell ref="D35:F35"/>
    <mergeCell ref="D36:F36"/>
    <mergeCell ref="D37:F37"/>
    <mergeCell ref="D31:F31"/>
    <mergeCell ref="D32:F32"/>
    <mergeCell ref="D33:D34"/>
    <mergeCell ref="D28:F28"/>
    <mergeCell ref="D29:F29"/>
    <mergeCell ref="D30:F30"/>
    <mergeCell ref="A41:A42"/>
    <mergeCell ref="D41:D42"/>
    <mergeCell ref="A43:C43"/>
    <mergeCell ref="D43:F43"/>
    <mergeCell ref="A44:C44"/>
    <mergeCell ref="D44:F44"/>
    <mergeCell ref="D38:F38"/>
    <mergeCell ref="D39:F39"/>
    <mergeCell ref="D40:F40"/>
    <mergeCell ref="A48:C48"/>
    <mergeCell ref="D48:F48"/>
    <mergeCell ref="A49:A50"/>
    <mergeCell ref="D49:D50"/>
    <mergeCell ref="A51:C51"/>
    <mergeCell ref="D51:F51"/>
    <mergeCell ref="A45:C45"/>
    <mergeCell ref="D45:F45"/>
    <mergeCell ref="A46:C46"/>
    <mergeCell ref="D46:F46"/>
    <mergeCell ref="A47:C47"/>
    <mergeCell ref="D47:F47"/>
    <mergeCell ref="A55:C55"/>
    <mergeCell ref="D55:F55"/>
    <mergeCell ref="A56:C56"/>
    <mergeCell ref="D56:F56"/>
    <mergeCell ref="A57:A58"/>
    <mergeCell ref="D57:D58"/>
    <mergeCell ref="A52:C52"/>
    <mergeCell ref="D52:F52"/>
    <mergeCell ref="A53:C53"/>
    <mergeCell ref="D53:F53"/>
    <mergeCell ref="A54:C54"/>
    <mergeCell ref="D54:F54"/>
    <mergeCell ref="A62:C62"/>
    <mergeCell ref="D62:F62"/>
    <mergeCell ref="A63:C63"/>
    <mergeCell ref="D63:F63"/>
    <mergeCell ref="A64:C64"/>
    <mergeCell ref="D64:F64"/>
    <mergeCell ref="A59:C59"/>
    <mergeCell ref="D59:F59"/>
    <mergeCell ref="A60:C60"/>
    <mergeCell ref="D60:F60"/>
    <mergeCell ref="A61:C61"/>
    <mergeCell ref="D61:F61"/>
  </mergeCells>
  <pageMargins left="0.7" right="0.7" top="0.75" bottom="0.75" header="0.3" footer="0.3"/>
  <pageSetup scale="90" orientation="landscape" horizontalDpi="300" verticalDpi="300" r:id="rId1"/>
  <rowBreaks count="1" manualBreakCount="1">
    <brk id="3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06FD-4A0C-40BA-B021-17C1B24B21DC}">
  <sheetPr codeName="Sheet7"/>
  <dimension ref="A1:E3"/>
  <sheetViews>
    <sheetView workbookViewId="0">
      <selection activeCell="G25" sqref="A1:XFD1048576"/>
    </sheetView>
  </sheetViews>
  <sheetFormatPr defaultRowHeight="15" x14ac:dyDescent="0.25"/>
  <cols>
    <col min="1" max="1" width="11.140625" bestFit="1" customWidth="1"/>
    <col min="2" max="2" width="17.42578125" bestFit="1" customWidth="1"/>
    <col min="3" max="3" width="19.28515625" bestFit="1" customWidth="1"/>
    <col min="4" max="4" width="9.5703125" style="24" bestFit="1" customWidth="1"/>
    <col min="5" max="5" width="10.5703125" bestFit="1" customWidth="1"/>
  </cols>
  <sheetData>
    <row r="1" spans="1:5" x14ac:dyDescent="0.25">
      <c r="A1" t="s">
        <v>50</v>
      </c>
      <c r="B1" t="s">
        <v>51</v>
      </c>
      <c r="C1" t="s">
        <v>52</v>
      </c>
      <c r="D1" s="24" t="s">
        <v>53</v>
      </c>
      <c r="E1" t="s">
        <v>54</v>
      </c>
    </row>
    <row r="2" spans="1:5" x14ac:dyDescent="0.25">
      <c r="A2" s="23"/>
      <c r="B2" s="23"/>
      <c r="C2" s="23"/>
      <c r="E2" s="23"/>
    </row>
    <row r="3" spans="1:5" x14ac:dyDescent="0.25">
      <c r="A3" s="23"/>
      <c r="B3" s="23"/>
      <c r="C3" s="23"/>
      <c r="E3" s="23"/>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449D3-D4D0-41CB-86B5-7D6746F22045}">
  <sheetPr codeName="Sheet8"/>
  <dimension ref="A1:A23"/>
  <sheetViews>
    <sheetView workbookViewId="0">
      <selection activeCell="G25" sqref="A1:XFD1048576"/>
    </sheetView>
  </sheetViews>
  <sheetFormatPr defaultRowHeight="15" x14ac:dyDescent="0.25"/>
  <cols>
    <col min="1" max="1" width="19.28515625" bestFit="1" customWidth="1"/>
  </cols>
  <sheetData>
    <row r="1" spans="1:1" x14ac:dyDescent="0.25">
      <c r="A1" t="s">
        <v>50</v>
      </c>
    </row>
    <row r="2" spans="1:1" x14ac:dyDescent="0.25">
      <c r="A2" s="23"/>
    </row>
    <row r="3" spans="1:1" x14ac:dyDescent="0.25">
      <c r="A3" s="23"/>
    </row>
    <row r="4" spans="1:1" x14ac:dyDescent="0.25">
      <c r="A4" s="23"/>
    </row>
    <row r="5" spans="1:1" x14ac:dyDescent="0.25">
      <c r="A5" s="23"/>
    </row>
    <row r="6" spans="1:1" x14ac:dyDescent="0.25">
      <c r="A6" s="23"/>
    </row>
    <row r="7" spans="1:1" x14ac:dyDescent="0.25">
      <c r="A7" s="23"/>
    </row>
    <row r="8" spans="1:1" x14ac:dyDescent="0.25">
      <c r="A8" s="23"/>
    </row>
    <row r="9" spans="1:1" x14ac:dyDescent="0.25">
      <c r="A9" s="23"/>
    </row>
    <row r="10" spans="1:1" x14ac:dyDescent="0.25">
      <c r="A10" s="23"/>
    </row>
    <row r="11" spans="1:1" x14ac:dyDescent="0.25">
      <c r="A11" s="23"/>
    </row>
    <row r="12" spans="1:1" x14ac:dyDescent="0.25">
      <c r="A12" s="23"/>
    </row>
    <row r="13" spans="1:1" x14ac:dyDescent="0.25">
      <c r="A13" s="23"/>
    </row>
    <row r="14" spans="1:1" x14ac:dyDescent="0.25">
      <c r="A14" s="23"/>
    </row>
    <row r="15" spans="1:1" x14ac:dyDescent="0.25">
      <c r="A15" s="23"/>
    </row>
    <row r="16" spans="1:1" x14ac:dyDescent="0.25">
      <c r="A16" s="23"/>
    </row>
    <row r="17" spans="1:1" x14ac:dyDescent="0.25">
      <c r="A17" s="23"/>
    </row>
    <row r="18" spans="1:1" x14ac:dyDescent="0.25">
      <c r="A18" s="23"/>
    </row>
    <row r="19" spans="1:1" x14ac:dyDescent="0.25">
      <c r="A19" s="23"/>
    </row>
    <row r="20" spans="1:1" x14ac:dyDescent="0.25">
      <c r="A20" s="23"/>
    </row>
    <row r="21" spans="1:1" x14ac:dyDescent="0.25">
      <c r="A21" s="23"/>
    </row>
    <row r="22" spans="1:1" x14ac:dyDescent="0.25">
      <c r="A22" s="23"/>
    </row>
    <row r="23" spans="1:1" x14ac:dyDescent="0.25">
      <c r="A23" s="23"/>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60790-461D-44B9-B777-E3F92E6C1FDE}">
  <sheetPr codeName="Sheet9"/>
  <dimension ref="A1:G2"/>
  <sheetViews>
    <sheetView workbookViewId="0">
      <selection activeCell="G25" sqref="A1:XFD1048576"/>
    </sheetView>
  </sheetViews>
  <sheetFormatPr defaultRowHeight="15" x14ac:dyDescent="0.25"/>
  <cols>
    <col min="2" max="2" width="10.140625" bestFit="1" customWidth="1"/>
    <col min="3" max="6" width="9.28515625" bestFit="1" customWidth="1"/>
    <col min="7" max="7" width="9.28515625" customWidth="1"/>
    <col min="8" max="8" width="9.28515625" bestFit="1" customWidth="1"/>
  </cols>
  <sheetData>
    <row r="1" spans="1:7" x14ac:dyDescent="0.25">
      <c r="A1" t="s">
        <v>50</v>
      </c>
      <c r="B1" t="s">
        <v>51</v>
      </c>
      <c r="C1" t="s">
        <v>52</v>
      </c>
      <c r="D1" t="s">
        <v>53</v>
      </c>
      <c r="E1" t="s">
        <v>54</v>
      </c>
      <c r="F1" t="s">
        <v>55</v>
      </c>
      <c r="G1" t="s">
        <v>56</v>
      </c>
    </row>
    <row r="2" spans="1:7" x14ac:dyDescent="0.25">
      <c r="A2" s="23"/>
      <c r="B2" s="23"/>
      <c r="C2" s="23"/>
      <c r="D2" s="23"/>
      <c r="E2" s="23"/>
      <c r="F2" s="23"/>
      <c r="G2" s="23"/>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525857-5D3E-4CCB-B40B-6EC145B107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Contributions (Print)</vt:lpstr>
      <vt:lpstr>Summary (Print)</vt:lpstr>
      <vt:lpstr>New Donors (Print)</vt:lpstr>
      <vt:lpstr>ContribLoad</vt:lpstr>
      <vt:lpstr>SummLoad</vt:lpstr>
      <vt:lpstr>NewLoad</vt:lpstr>
      <vt:lpstr>'Contributions (Print)'!Print_Area</vt:lpstr>
      <vt:lpstr>'Summary (Print)'!Print_Area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2017-12-21T17:14:38Z</dcterms:modified>
</cp:coreProperties>
</file>